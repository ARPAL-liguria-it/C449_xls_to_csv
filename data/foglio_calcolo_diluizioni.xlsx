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rCalcoliDiluizione"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Andrea Bazzano</author>
  </authors>
  <commentList>
    <comment ref="T9" authorId="0">
      <text>
        <r>
          <rPr>
            <sz val="10"/>
            <rFont val="Arial"/>
            <family val="2"/>
          </rPr>
          <t xml:space="preserve">Bazzano Andrea:
</t>
        </r>
        <r>
          <rPr>
            <sz val="9"/>
            <color rgb="FF000000"/>
            <rFont val="Tahoma"/>
            <family val="0"/>
            <charset val="1"/>
          </rPr>
          <t xml:space="preserve">SE(E(F9&gt;=$C9;F9&lt;=$D9;F9&lt;&gt;0;F9&lt;&gt;"n.a.");1;0)
Se il valore misurato per il tal quale è diverso da zero o n.d ed è maggiore o uguale dell'estremo inferiore e minore dell'estremo inferiore di calibrazione, riporto 1, altrimenti 0. Formule simili sono applicate per tutti i livelli di diluizione.</t>
        </r>
      </text>
    </comment>
    <comment ref="U157" authorId="0">
      <text>
        <r>
          <rPr>
            <sz val="10"/>
            <rFont val="Arial"/>
            <family val="2"/>
          </rPr>
          <t xml:space="preserve">Bazzano Andrea:
</t>
        </r>
        <r>
          <rPr>
            <sz val="9"/>
            <color rgb="FF000000"/>
            <rFont val="Tahoma"/>
            <family val="2"/>
            <charset val="1"/>
          </rPr>
          <t xml:space="preserve">D.Lgs. 23/2023 (che sostituisce il D.Lgs. 31/2001). Allegato 1, Parte B (quart'ultimo parametro).</t>
        </r>
      </text>
    </comment>
    <comment ref="Z9" authorId="0">
      <text>
        <r>
          <rPr>
            <sz val="10"/>
            <rFont val="Arial"/>
            <family val="2"/>
          </rPr>
          <t xml:space="preserve">Bazzano Andrea:
</t>
        </r>
        <r>
          <rPr>
            <sz val="9"/>
            <color rgb="FF000000"/>
            <rFont val="Tahoma"/>
            <family val="2"/>
            <charset val="1"/>
          </rPr>
          <t xml:space="preserve">=SE($F9="n.a.";0;$F9*$T9)
Se la concentrazione letta sulla curva è n.a. metti 0, altrimenti metti la concentrazione misurata (F9), moltiplicata per il flag che indica se il risultato è in curva o no (T9). Il flag ha come valori possibili 0 e 1. Vengono quindi visualizzati valori pari a 0 per valori n.a. o fuori curva e pari al valore stesso, nel caso in cui siano misurati in curva.</t>
        </r>
      </text>
    </comment>
    <comment ref="AF9" authorId="0">
      <text>
        <r>
          <rPr>
            <sz val="10"/>
            <rFont val="Arial"/>
            <family val="2"/>
          </rPr>
          <t xml:space="preserve">Bazzano Andrea:
</t>
        </r>
        <r>
          <rPr>
            <sz val="9"/>
            <color rgb="FF000000"/>
            <rFont val="Tahoma"/>
            <family val="2"/>
            <charset val="1"/>
          </rPr>
          <t xml:space="preserve">=SE($G9="n.a.";0;$G9*$T9)
Vengono visualizzati come 0 i valori n.a. o fuori curva e pari al valore stesso, nel caso di lettura in curva. T9 assume solo valori pari a 0 (fuori curva) o 1 (in curva).</t>
        </r>
      </text>
    </comment>
    <comment ref="AK9" authorId="0">
      <text>
        <r>
          <rPr>
            <sz val="10"/>
            <rFont val="Arial"/>
            <family val="2"/>
          </rPr>
          <t xml:space="preserve">Bazzano Andrea:
</t>
        </r>
        <r>
          <rPr>
            <sz val="9"/>
            <color rgb="FF000000"/>
            <rFont val="Tahoma"/>
            <family val="2"/>
            <charset val="1"/>
          </rPr>
          <t xml:space="preserve">Valore massimo letto sulla curva. Ci serve perché nel caso di più valori letti in curva, prenderemo quello corrispondente a una lettura in curva maggiore.</t>
        </r>
      </text>
    </comment>
    <comment ref="AL9" authorId="0">
      <text>
        <r>
          <rPr>
            <sz val="10"/>
            <rFont val="Arial"/>
            <family val="2"/>
          </rPr>
          <t xml:space="preserve">Bazzano Andrea:
</t>
        </r>
        <r>
          <rPr>
            <sz val="9"/>
            <color rgb="FF000000"/>
            <rFont val="Tahoma"/>
            <family val="0"/>
            <charset val="1"/>
          </rPr>
          <t xml:space="preserve">=INDICE(AF9:AJ9;1;CONFRONTA(AK9;Z9:AD9;0))
Ricavo l'indirizzo relativo corrispondete al valore massimo letto in curva e trovo il corrispondente valore di concentrazione sul campione.
CONFRONTA trova il valore massimo (AK9) nella matrice dei valori letti in curva alle varie diluizioni (Z9:AD9) e ne restituisce l'indice relativo.
INDICE restituisce il valore all'interno della matrice delle concentrazioni del campione lette a varie diluizioni (AF9:AJ9), nella riga uno (1) e colonna indicata dal risultato di CONFRONTA.</t>
        </r>
      </text>
    </comment>
    <comment ref="AM9" authorId="0">
      <text>
        <r>
          <rPr>
            <sz val="10"/>
            <rFont val="Arial"/>
            <family val="2"/>
          </rPr>
          <t xml:space="preserve">Bazzano Andrea:
</t>
        </r>
        <r>
          <rPr>
            <sz val="9"/>
            <color rgb="FF000000"/>
            <rFont val="Tahoma"/>
            <family val="0"/>
            <charset val="1"/>
          </rPr>
          <t xml:space="preserve">=SE(SE(E($T57=1;$T9=0);0;$AL9)=0;"";$AL9)
Se il campione tal quale rientra nella curva alta (T57 = 1) e il tal quale sulla curva bassa non rientra in curva (T9 = 0), non seleziono i risultati ottenuti sulla curva bassa con i campioni diluiti (metto 0), in caso contrario metto la concentrazione massima del campione (AL9).
La scelta di mettere il massimo è così motivata: se ho un solo valore, alle varie diluizioni, in retta, il MAX corrisponde all'unico valore disponibile. In caso di più valori in retta, alle varie diluizioni, scelgo quello letto nella porzione più alta della curva.
Per pulizia grafica, se ho valori = 0, metto una stringa vuota (""), altrimenti riporto il valore di concentrazione scelto.</t>
        </r>
      </text>
    </comment>
    <comment ref="AM57" authorId="0">
      <text>
        <r>
          <rPr>
            <sz val="10"/>
            <rFont val="Arial"/>
            <family val="2"/>
          </rPr>
          <t xml:space="preserve">Bazzano Andrea:
</t>
        </r>
        <r>
          <rPr>
            <sz val="9"/>
            <color rgb="FF000000"/>
            <rFont val="Tahoma"/>
            <family val="0"/>
            <charset val="1"/>
          </rPr>
          <t xml:space="preserve">=SE($Y57=0;"";$AL57)
Se non ho valori in curva lascio vuoto, altrimenti metto il valore sul campione corrispondente al valore massimo misurato sulla curva (AL57).</t>
        </r>
      </text>
    </comment>
  </commentList>
</comments>
</file>

<file path=xl/sharedStrings.xml><?xml version="1.0" encoding="utf-8"?>
<sst xmlns="http://schemas.openxmlformats.org/spreadsheetml/2006/main" count="265" uniqueCount="89">
  <si>
    <t xml:space="preserve">Legenda:</t>
  </si>
  <si>
    <t xml:space="preserve">campo compilabile</t>
  </si>
  <si>
    <t xml:space="preserve">campo calcolato</t>
  </si>
  <si>
    <t xml:space="preserve">Codice campione</t>
  </si>
  <si>
    <t xml:space="preserve">Celle nascoste -&gt;</t>
  </si>
  <si>
    <t xml:space="preserve">Curva bassa</t>
  </si>
  <si>
    <t xml:space="preserve">Tal quale</t>
  </si>
  <si>
    <t xml:space="preserve">Diluizione x10</t>
  </si>
  <si>
    <t xml:space="preserve">Diluizione xxx</t>
  </si>
  <si>
    <t xml:space="preserve">Concentrazione su curva</t>
  </si>
  <si>
    <t xml:space="preserve">Concentrazione nel campione</t>
  </si>
  <si>
    <t xml:space="preserve">Analita</t>
  </si>
  <si>
    <t xml:space="preserve">Risultato parziale (µg/l)</t>
  </si>
  <si>
    <t xml:space="preserve">min taratura (µg/l)</t>
  </si>
  <si>
    <t xml:space="preserve">max taratura (µg/l)</t>
  </si>
  <si>
    <t xml:space="preserve">Concentrazione curva (µg/l)</t>
  </si>
  <si>
    <t xml:space="preserve">Concentrazione campione (µg/l)</t>
  </si>
  <si>
    <t xml:space="preserve">tal quale in curva?</t>
  </si>
  <si>
    <t xml:space="preserve">diluizione 1 in curva?</t>
  </si>
  <si>
    <t xml:space="preserve">diluizione 2 in curva?</t>
  </si>
  <si>
    <t xml:space="preserve">diluizione 3 in curva?</t>
  </si>
  <si>
    <t xml:space="preserve">diluizione 4 in curva?</t>
  </si>
  <si>
    <t xml:space="preserve">somma</t>
  </si>
  <si>
    <t xml:space="preserve">tal quale</t>
  </si>
  <si>
    <t xml:space="preserve">diluizione 1</t>
  </si>
  <si>
    <t xml:space="preserve">diluizione 2</t>
  </si>
  <si>
    <t xml:space="preserve">diluizione 3</t>
  </si>
  <si>
    <t xml:space="preserve">diluizione 4</t>
  </si>
  <si>
    <t xml:space="preserve">Max curva</t>
  </si>
  <si>
    <t xml:space="preserve">Max campione</t>
  </si>
  <si>
    <t xml:space="preserve">Conc campione</t>
  </si>
  <si>
    <t xml:space="preserve">Clorometano</t>
  </si>
  <si>
    <t xml:space="preserve">n.a.</t>
  </si>
  <si>
    <t xml:space="preserve">Cloruro di vinile</t>
  </si>
  <si>
    <t xml:space="preserve">1,1-Dicloroetilene</t>
  </si>
  <si>
    <t xml:space="preserve">Diclorometano (Cloruro di metilene)</t>
  </si>
  <si>
    <t xml:space="preserve">Metil t-butil etere (MTBE)</t>
  </si>
  <si>
    <t xml:space="preserve">trans - 1,2-Dicloroetilene</t>
  </si>
  <si>
    <t xml:space="preserve">Diisopropil etere</t>
  </si>
  <si>
    <t xml:space="preserve">1,1-Dicloroetano</t>
  </si>
  <si>
    <t xml:space="preserve">Etil t-butil etere (ETBE)</t>
  </si>
  <si>
    <t xml:space="preserve">cis - 1,2-Dicloroetilene</t>
  </si>
  <si>
    <t xml:space="preserve">Triclorometano (Cloroformio)</t>
  </si>
  <si>
    <t xml:space="preserve">1,1,1-Tricloroetano</t>
  </si>
  <si>
    <t xml:space="preserve">Tetracloruro di carbonio</t>
  </si>
  <si>
    <t xml:space="preserve">Benzene</t>
  </si>
  <si>
    <t xml:space="preserve">1,2-Dicloroetano</t>
  </si>
  <si>
    <t xml:space="preserve">Tert amil metil etere (TAME)</t>
  </si>
  <si>
    <t xml:space="preserve">Tricloroetilene</t>
  </si>
  <si>
    <t xml:space="preserve">1,2-Dicloropropano</t>
  </si>
  <si>
    <t xml:space="preserve">Bromodiclorometano</t>
  </si>
  <si>
    <t xml:space="preserve">trans-1,3-Dicloropropene</t>
  </si>
  <si>
    <t xml:space="preserve">Toluene</t>
  </si>
  <si>
    <t xml:space="preserve">cis-1,3-dicloropropene</t>
  </si>
  <si>
    <t xml:space="preserve">Tetracloroetilene</t>
  </si>
  <si>
    <t xml:space="preserve">1,1,2-Tricloroetano</t>
  </si>
  <si>
    <t xml:space="preserve">Dibromoclorometano</t>
  </si>
  <si>
    <t xml:space="preserve">1,2-Dibromoetano</t>
  </si>
  <si>
    <t xml:space="preserve">Clorobenzene</t>
  </si>
  <si>
    <t xml:space="preserve">Etilbenzene</t>
  </si>
  <si>
    <t xml:space="preserve">Sommatoria (m-Xilene + p-Xilene)</t>
  </si>
  <si>
    <t xml:space="preserve">1-Bromo-3-cloropropano</t>
  </si>
  <si>
    <t xml:space="preserve">o-Xilene</t>
  </si>
  <si>
    <t xml:space="preserve">Stirene</t>
  </si>
  <si>
    <t xml:space="preserve">Tribromometano (Bromoformio)</t>
  </si>
  <si>
    <t xml:space="preserve">Isopropilbenzene (Cumene)</t>
  </si>
  <si>
    <t xml:space="preserve">1,2,3-Tricloropropano</t>
  </si>
  <si>
    <t xml:space="preserve">1,1,2,2-Tetracloroetano</t>
  </si>
  <si>
    <t xml:space="preserve">1,3-Diclorobenzene</t>
  </si>
  <si>
    <t xml:space="preserve">1,4-Diclorobenzene</t>
  </si>
  <si>
    <t xml:space="preserve">1,2-Diclorobenzene</t>
  </si>
  <si>
    <t xml:space="preserve">1,3,5-Triclorobenzene</t>
  </si>
  <si>
    <t xml:space="preserve">1,2,4-Triclorobenzene</t>
  </si>
  <si>
    <t xml:space="preserve">Esaclorobutadiene</t>
  </si>
  <si>
    <t xml:space="preserve">Naftalene</t>
  </si>
  <si>
    <t xml:space="preserve">1,2,3-Triclorobenzene</t>
  </si>
  <si>
    <t xml:space="preserve">Curva alta</t>
  </si>
  <si>
    <t xml:space="preserve">Risultato da consegnare (µg/l)</t>
  </si>
  <si>
    <t xml:space="preserve">Risultati puliti (µg/l)</t>
  </si>
  <si>
    <t xml:space="preserve">Risultati per sommatorie con lower bound (µg/l)</t>
  </si>
  <si>
    <t xml:space="preserve">Sommatoria (cis 1,2-Dicloroetilene + trans 1,2-Dicloroetilene)</t>
  </si>
  <si>
    <t xml:space="preserve">Sommatoria organoalogenati</t>
  </si>
  <si>
    <t xml:space="preserve">da definire</t>
  </si>
  <si>
    <t xml:space="preserve">Sommatoria organoalogenati cancerogeni</t>
  </si>
  <si>
    <t xml:space="preserve">non sono sicuro</t>
  </si>
  <si>
    <t xml:space="preserve">Sommatoria solv. organ. clorurati</t>
  </si>
  <si>
    <t xml:space="preserve">Sommatoria solventi organici aromatici</t>
  </si>
  <si>
    <t xml:space="preserve">Sommatoria (Tetracloroetilene + Tricloroetilene)</t>
  </si>
  <si>
    <t xml:space="preserve">Trialometani totali</t>
  </si>
</sst>
</file>

<file path=xl/styles.xml><?xml version="1.0" encoding="utf-8"?>
<styleSheet xmlns="http://schemas.openxmlformats.org/spreadsheetml/2006/main">
  <numFmts count="4">
    <numFmt numFmtId="164" formatCode="General"/>
    <numFmt numFmtId="165" formatCode="0.0000"/>
    <numFmt numFmtId="166" formatCode="0"/>
    <numFmt numFmtId="167" formatCode="0.0"/>
  </numFmts>
  <fonts count="12">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1"/>
      <name val="Calibri"/>
      <family val="2"/>
      <charset val="1"/>
    </font>
    <font>
      <i val="true"/>
      <sz val="11"/>
      <color theme="1"/>
      <name val="Calibri"/>
      <family val="2"/>
      <charset val="1"/>
    </font>
    <font>
      <b val="true"/>
      <sz val="11"/>
      <color theme="1"/>
      <name val="Calibri"/>
      <family val="2"/>
      <charset val="1"/>
    </font>
    <font>
      <sz val="11"/>
      <name val="Calibri"/>
      <family val="2"/>
      <charset val="1"/>
    </font>
    <font>
      <sz val="10"/>
      <name val="Arial"/>
      <family val="2"/>
    </font>
    <font>
      <sz val="9"/>
      <color rgb="FF000000"/>
      <name val="Tahoma"/>
      <family val="0"/>
      <charset val="1"/>
    </font>
    <font>
      <sz val="9"/>
      <color rgb="FF000000"/>
      <name val="Tahoma"/>
      <family val="2"/>
      <charset val="1"/>
    </font>
  </fonts>
  <fills count="6">
    <fill>
      <patternFill patternType="none"/>
    </fill>
    <fill>
      <patternFill patternType="gray125"/>
    </fill>
    <fill>
      <patternFill patternType="solid">
        <fgColor theme="0"/>
        <bgColor rgb="FFFFFFCC"/>
      </patternFill>
    </fill>
    <fill>
      <patternFill patternType="solid">
        <fgColor rgb="FFE6E6FA"/>
        <bgColor rgb="FFFFFFFF"/>
      </patternFill>
    </fill>
    <fill>
      <patternFill patternType="solid">
        <fgColor rgb="FFADD8E6"/>
        <bgColor rgb="FFCCCCFF"/>
      </patternFill>
    </fill>
    <fill>
      <patternFill patternType="solid">
        <fgColor theme="2" tint="-0.1"/>
        <bgColor rgb="FFCCCCFF"/>
      </patternFill>
    </fill>
  </fills>
  <borders count="9">
    <border diagonalUp="false" diagonalDown="false">
      <left/>
      <right/>
      <top/>
      <bottom/>
      <diagonal/>
    </border>
    <border diagonalUp="false" diagonalDown="false">
      <left/>
      <right/>
      <top/>
      <bottom style="medium"/>
      <diagonal/>
    </border>
    <border diagonalUp="false" diagonalDown="false">
      <left/>
      <right/>
      <top style="medium"/>
      <bottom style="medium"/>
      <diagonal/>
    </border>
    <border diagonalUp="false" diagonalDown="false">
      <left/>
      <right/>
      <top/>
      <bottom style="thin"/>
      <diagonal/>
    </border>
    <border diagonalUp="false" diagonalDown="false">
      <left/>
      <right/>
      <top style="thin"/>
      <bottom style="medium"/>
      <diagonal/>
    </border>
    <border diagonalUp="false" diagonalDown="false">
      <left style="thin"/>
      <right/>
      <top style="thin"/>
      <bottom/>
      <diagonal/>
    </border>
    <border diagonalUp="false" diagonalDown="false">
      <left/>
      <right/>
      <top style="medium"/>
      <bottom/>
      <diagonal/>
    </border>
    <border diagonalUp="false" diagonalDown="false">
      <left style="thin"/>
      <right/>
      <top/>
      <bottom/>
      <diagonal/>
    </border>
    <border diagonalUp="false" diagonalDown="false">
      <left style="thin"/>
      <right/>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right"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6" fillId="2" borderId="3" xfId="0" applyFont="true" applyBorder="true" applyAlignment="true" applyProtection="false">
      <alignment horizontal="left" vertical="bottom" textRotation="0" wrapText="false" indent="0" shrinkToFit="false"/>
      <protection locked="true" hidden="false"/>
    </xf>
    <xf numFmtId="164" fontId="6" fillId="2" borderId="3" xfId="0" applyFont="true" applyBorder="true" applyAlignment="true" applyProtection="false">
      <alignment horizontal="right"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6" fillId="2" borderId="3" xfId="0" applyFont="true" applyBorder="true" applyAlignment="false" applyProtection="false">
      <alignment horizontal="general" vertical="bottom" textRotation="0" wrapText="false" indent="0" shrinkToFit="false"/>
      <protection locked="true" hidden="false"/>
    </xf>
    <xf numFmtId="164" fontId="7" fillId="2" borderId="3"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5" borderId="3"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2" borderId="4" xfId="0" applyFont="true" applyBorder="true" applyAlignment="true" applyProtection="false">
      <alignment horizontal="right" vertical="bottom" textRotation="0" wrapText="false" indent="0" shrinkToFit="false"/>
      <protection locked="true" hidden="false"/>
    </xf>
    <xf numFmtId="164" fontId="7" fillId="2" borderId="4" xfId="0" applyFont="true" applyBorder="tru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0" fillId="2" borderId="5" xfId="0" applyFont="true" applyBorder="true" applyAlignment="false" applyProtection="false">
      <alignment horizontal="general" vertical="bottom" textRotation="0" wrapText="false" indent="0" shrinkToFit="false"/>
      <protection locked="true" hidden="false"/>
    </xf>
    <xf numFmtId="165" fontId="0" fillId="4" borderId="6" xfId="0" applyFont="false" applyBorder="true" applyAlignment="false" applyProtection="false">
      <alignment horizontal="general" vertical="bottom" textRotation="0" wrapText="false" indent="0" shrinkToFit="false"/>
      <protection locked="true" hidden="false"/>
    </xf>
    <xf numFmtId="165" fontId="0" fillId="3" borderId="0" xfId="0" applyFont="false" applyBorder="false" applyAlignment="true" applyProtection="false">
      <alignment horizontal="right" vertical="bottom" textRotation="0" wrapText="false" indent="0" shrinkToFit="false"/>
      <protection locked="true" hidden="false"/>
    </xf>
    <xf numFmtId="164" fontId="0" fillId="3" borderId="0" xfId="0" applyFont="true" applyBorder="false" applyAlignment="true" applyProtection="false">
      <alignment horizontal="right" vertical="bottom" textRotation="0" wrapText="false" indent="0" shrinkToFit="false"/>
      <protection locked="true" hidden="false"/>
    </xf>
    <xf numFmtId="164" fontId="0" fillId="4" borderId="0" xfId="0" applyFont="false" applyBorder="true" applyAlignment="false" applyProtection="false">
      <alignment horizontal="general" vertical="bottom" textRotation="0" wrapText="false" indent="0" shrinkToFit="false"/>
      <protection locked="true" hidden="false"/>
    </xf>
    <xf numFmtId="166" fontId="0" fillId="4" borderId="0" xfId="0" applyFont="false" applyBorder="false" applyAlignment="false" applyProtection="false">
      <alignment horizontal="general" vertical="bottom" textRotation="0" wrapText="false" indent="0" shrinkToFit="false"/>
      <protection locked="true" hidden="false"/>
    </xf>
    <xf numFmtId="167" fontId="0" fillId="4" borderId="0" xfId="0" applyFont="false" applyBorder="false" applyAlignment="false" applyProtection="false">
      <alignment horizontal="general" vertical="bottom" textRotation="0" wrapText="false" indent="0" shrinkToFit="false"/>
      <protection locked="true" hidden="false"/>
    </xf>
    <xf numFmtId="164" fontId="0" fillId="2" borderId="7" xfId="0" applyFont="true" applyBorder="true" applyAlignment="false" applyProtection="false">
      <alignment horizontal="general" vertical="bottom" textRotation="0" wrapText="false" indent="0" shrinkToFit="false"/>
      <protection locked="true" hidden="false"/>
    </xf>
    <xf numFmtId="165" fontId="0" fillId="4" borderId="0" xfId="0" applyFont="false" applyBorder="true" applyAlignment="false" applyProtection="false">
      <alignment horizontal="general" vertical="bottom" textRotation="0" wrapText="false" indent="0" shrinkToFit="false"/>
      <protection locked="true" hidden="false"/>
    </xf>
    <xf numFmtId="164" fontId="0" fillId="2" borderId="8" xfId="0" applyFont="true" applyBorder="true" applyAlignment="false" applyProtection="false">
      <alignment horizontal="general" vertical="bottom" textRotation="0" wrapText="fals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5" fontId="0" fillId="3" borderId="1" xfId="0" applyFont="false" applyBorder="true" applyAlignment="true" applyProtection="false">
      <alignment horizontal="right" vertical="bottom" textRotation="0" wrapText="false" indent="0" shrinkToFit="false"/>
      <protection locked="true" hidden="false"/>
    </xf>
    <xf numFmtId="164" fontId="0" fillId="3" borderId="1" xfId="0" applyFont="false" applyBorder="true" applyAlignment="true" applyProtection="false">
      <alignment horizontal="right" vertical="bottom" textRotation="0" wrapText="false" indent="0" shrinkToFit="false"/>
      <protection locked="true" hidden="false"/>
    </xf>
    <xf numFmtId="164" fontId="0" fillId="2" borderId="6" xfId="0" applyFont="fals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7" fillId="2" borderId="2"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5" fontId="0" fillId="2" borderId="0"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e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E6E6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DD8E6"/>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i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57"/>
  <sheetViews>
    <sheetView showFormulas="false" showGridLines="true" showRowColHeaders="true" showZeros="true" rightToLeft="false" tabSelected="true" showOutlineSymbols="true" defaultGridColor="true" view="normal" topLeftCell="A88" colorId="64" zoomScale="100" zoomScaleNormal="100" zoomScalePageLayoutView="100" workbookViewId="0">
      <pane xSplit="1" ySplit="0" topLeftCell="B88" activePane="topRight" state="frozen"/>
      <selection pane="topLeft" activeCell="A88" activeCellId="0" sqref="A88"/>
      <selection pane="topRight" activeCell="B6" activeCellId="0" sqref="B6"/>
    </sheetView>
  </sheetViews>
  <sheetFormatPr defaultColWidth="9.14453125" defaultRowHeight="15" zeroHeight="false" outlineLevelRow="0" outlineLevelCol="0"/>
  <cols>
    <col collapsed="false" customWidth="true" hidden="false" outlineLevel="0" max="1" min="1" style="1" width="56.57"/>
    <col collapsed="false" customWidth="true" hidden="false" outlineLevel="0" max="2" min="2" style="1" width="28.43"/>
    <col collapsed="false" customWidth="true" hidden="false" outlineLevel="0" max="3" min="3" style="1" width="18"/>
    <col collapsed="false" customWidth="true" hidden="false" outlineLevel="0" max="4" min="4" style="1" width="18.29"/>
    <col collapsed="false" customWidth="true" hidden="false" outlineLevel="0" max="5" min="5" style="2" width="0.86"/>
    <col collapsed="false" customWidth="true" hidden="false" outlineLevel="0" max="6" min="6" style="3" width="26.43"/>
    <col collapsed="false" customWidth="true" hidden="false" outlineLevel="0" max="7" min="7" style="3" width="30.57"/>
    <col collapsed="false" customWidth="true" hidden="false" outlineLevel="0" max="8" min="8" style="2" width="0.86"/>
    <col collapsed="false" customWidth="true" hidden="false" outlineLevel="0" max="9" min="9" style="1" width="26.43"/>
    <col collapsed="false" customWidth="true" hidden="false" outlineLevel="0" max="10" min="10" style="3" width="30.57"/>
    <col collapsed="false" customWidth="true" hidden="false" outlineLevel="0" max="11" min="11" style="2" width="0.86"/>
    <col collapsed="false" customWidth="true" hidden="false" outlineLevel="0" max="12" min="12" style="1" width="26.43"/>
    <col collapsed="false" customWidth="true" hidden="false" outlineLevel="0" max="13" min="13" style="1" width="30.57"/>
    <col collapsed="false" customWidth="true" hidden="false" outlineLevel="0" max="14" min="14" style="2" width="0.86"/>
    <col collapsed="false" customWidth="true" hidden="false" outlineLevel="0" max="15" min="15" style="1" width="26.43"/>
    <col collapsed="false" customWidth="true" hidden="false" outlineLevel="0" max="16" min="16" style="1" width="30.57"/>
    <col collapsed="false" customWidth="true" hidden="false" outlineLevel="0" max="17" min="17" style="2" width="0.86"/>
    <col collapsed="false" customWidth="true" hidden="false" outlineLevel="0" max="18" min="18" style="1" width="26.43"/>
    <col collapsed="false" customWidth="true" hidden="false" outlineLevel="0" max="19" min="19" style="1" width="30.57"/>
    <col collapsed="false" customWidth="true" hidden="true" outlineLevel="0" max="24" min="20" style="1" width="19.86"/>
    <col collapsed="false" customWidth="false" hidden="true" outlineLevel="0" max="25" min="25" style="1" width="9.14"/>
    <col collapsed="false" customWidth="true" hidden="true" outlineLevel="0" max="30" min="26" style="1" width="11.28"/>
    <col collapsed="false" customWidth="true" hidden="true" outlineLevel="0" max="31" min="31" style="2" width="0.86"/>
    <col collapsed="false" customWidth="true" hidden="true" outlineLevel="0" max="32" min="32" style="1" width="11.57"/>
    <col collapsed="false" customWidth="true" hidden="true" outlineLevel="0" max="34" min="33" style="1" width="11.28"/>
    <col collapsed="false" customWidth="true" hidden="true" outlineLevel="0" max="35" min="35" style="1" width="11.57"/>
    <col collapsed="false" customWidth="true" hidden="true" outlineLevel="0" max="36" min="36" style="1" width="11.28"/>
    <col collapsed="false" customWidth="true" hidden="true" outlineLevel="0" max="37" min="37" style="1" width="9.86"/>
    <col collapsed="false" customWidth="true" hidden="true" outlineLevel="0" max="38" min="38" style="1" width="14"/>
    <col collapsed="false" customWidth="true" hidden="true" outlineLevel="0" max="39" min="39" style="1" width="14.57"/>
    <col collapsed="false" customWidth="false" hidden="false" outlineLevel="0" max="16384" min="40" style="1" width="9.14"/>
  </cols>
  <sheetData>
    <row r="1" customFormat="false" ht="15" hidden="false" customHeight="false" outlineLevel="0" collapsed="false">
      <c r="A1" s="4" t="s">
        <v>0</v>
      </c>
    </row>
    <row r="2" customFormat="false" ht="15" hidden="false" customHeight="false" outlineLevel="0" collapsed="false">
      <c r="A2" s="5" t="s">
        <v>1</v>
      </c>
    </row>
    <row r="3" customFormat="false" ht="15" hidden="false" customHeight="false" outlineLevel="0" collapsed="false">
      <c r="A3" s="6" t="s">
        <v>2</v>
      </c>
    </row>
    <row r="4" customFormat="false" ht="15" hidden="false" customHeight="false" outlineLevel="0" collapsed="false">
      <c r="A4" s="7"/>
      <c r="B4" s="7"/>
    </row>
    <row r="5" customFormat="false" ht="15" hidden="false" customHeight="false" outlineLevel="0" collapsed="false">
      <c r="A5" s="8" t="s">
        <v>3</v>
      </c>
      <c r="B5" s="9" t="n">
        <v>1234</v>
      </c>
      <c r="S5" s="3" t="s">
        <v>4</v>
      </c>
    </row>
    <row r="7" customFormat="false" ht="15" hidden="false" customHeight="false" outlineLevel="0" collapsed="false">
      <c r="A7" s="1" t="s">
        <v>5</v>
      </c>
      <c r="F7" s="10" t="s">
        <v>6</v>
      </c>
      <c r="G7" s="11"/>
      <c r="H7" s="12"/>
      <c r="I7" s="13" t="s">
        <v>7</v>
      </c>
      <c r="J7" s="11"/>
      <c r="K7" s="12"/>
      <c r="L7" s="13" t="s">
        <v>8</v>
      </c>
      <c r="M7" s="13"/>
      <c r="N7" s="12"/>
      <c r="O7" s="13" t="s">
        <v>8</v>
      </c>
      <c r="P7" s="14"/>
      <c r="Q7" s="15"/>
      <c r="R7" s="13" t="s">
        <v>8</v>
      </c>
      <c r="S7" s="16"/>
      <c r="Z7" s="17" t="s">
        <v>9</v>
      </c>
      <c r="AA7" s="17"/>
      <c r="AB7" s="17"/>
      <c r="AC7" s="17"/>
      <c r="AD7" s="17"/>
      <c r="AE7" s="18"/>
      <c r="AF7" s="17" t="s">
        <v>10</v>
      </c>
      <c r="AG7" s="17"/>
      <c r="AH7" s="17"/>
      <c r="AI7" s="17"/>
      <c r="AJ7" s="17"/>
    </row>
    <row r="8" customFormat="false" ht="15" hidden="false" customHeight="false" outlineLevel="0" collapsed="false">
      <c r="A8" s="4" t="s">
        <v>11</v>
      </c>
      <c r="B8" s="19" t="s">
        <v>12</v>
      </c>
      <c r="C8" s="19" t="s">
        <v>13</v>
      </c>
      <c r="D8" s="19" t="s">
        <v>14</v>
      </c>
      <c r="E8" s="15"/>
      <c r="F8" s="20" t="s">
        <v>15</v>
      </c>
      <c r="G8" s="20" t="s">
        <v>16</v>
      </c>
      <c r="H8" s="15"/>
      <c r="I8" s="21" t="s">
        <v>15</v>
      </c>
      <c r="J8" s="20" t="s">
        <v>16</v>
      </c>
      <c r="K8" s="15"/>
      <c r="L8" s="21" t="s">
        <v>15</v>
      </c>
      <c r="M8" s="21" t="s">
        <v>16</v>
      </c>
      <c r="N8" s="15"/>
      <c r="O8" s="21" t="s">
        <v>15</v>
      </c>
      <c r="P8" s="21" t="s">
        <v>16</v>
      </c>
      <c r="Q8" s="15"/>
      <c r="R8" s="21" t="s">
        <v>15</v>
      </c>
      <c r="S8" s="21" t="s">
        <v>16</v>
      </c>
      <c r="T8" s="22" t="s">
        <v>17</v>
      </c>
      <c r="U8" s="22" t="s">
        <v>18</v>
      </c>
      <c r="V8" s="22" t="s">
        <v>19</v>
      </c>
      <c r="W8" s="22" t="s">
        <v>20</v>
      </c>
      <c r="X8" s="22" t="s">
        <v>21</v>
      </c>
      <c r="Y8" s="22" t="s">
        <v>22</v>
      </c>
      <c r="Z8" s="22" t="s">
        <v>23</v>
      </c>
      <c r="AA8" s="22" t="s">
        <v>24</v>
      </c>
      <c r="AB8" s="22" t="s">
        <v>25</v>
      </c>
      <c r="AC8" s="22" t="s">
        <v>26</v>
      </c>
      <c r="AD8" s="22" t="s">
        <v>27</v>
      </c>
      <c r="AE8" s="23"/>
      <c r="AF8" s="22" t="s">
        <v>23</v>
      </c>
      <c r="AG8" s="22" t="s">
        <v>24</v>
      </c>
      <c r="AH8" s="22" t="s">
        <v>25</v>
      </c>
      <c r="AI8" s="22" t="s">
        <v>26</v>
      </c>
      <c r="AJ8" s="22" t="s">
        <v>27</v>
      </c>
      <c r="AK8" s="22" t="s">
        <v>28</v>
      </c>
      <c r="AL8" s="22" t="s">
        <v>29</v>
      </c>
      <c r="AM8" s="22" t="s">
        <v>30</v>
      </c>
    </row>
    <row r="9" customFormat="false" ht="15" hidden="false" customHeight="false" outlineLevel="0" collapsed="false">
      <c r="A9" s="24" t="s">
        <v>31</v>
      </c>
      <c r="B9" s="25" t="str">
        <f aca="false">$AM9</f>
        <v/>
      </c>
      <c r="C9" s="5" t="n">
        <v>0.02</v>
      </c>
      <c r="D9" s="5" t="n">
        <v>0.2</v>
      </c>
      <c r="F9" s="26" t="n">
        <v>0.0036</v>
      </c>
      <c r="G9" s="26" t="n">
        <v>0.0036</v>
      </c>
      <c r="I9" s="5"/>
      <c r="J9" s="27" t="s">
        <v>32</v>
      </c>
      <c r="L9" s="5"/>
      <c r="M9" s="5"/>
      <c r="O9" s="5"/>
      <c r="P9" s="5"/>
      <c r="R9" s="5"/>
      <c r="S9" s="5"/>
      <c r="T9" s="6" t="n">
        <f aca="false">IF(AND(F9&gt;=$C9,F9&lt;=$D9,F9&lt;&gt;0,F9&lt;&gt;"n.a."),1,0)</f>
        <v>0</v>
      </c>
      <c r="U9" s="6" t="n">
        <f aca="false">IF(AND(I9&gt;=$C9,I9&lt;=$D9,I9&lt;&gt;0,I9&lt;&gt;"n.a."),1,0)</f>
        <v>0</v>
      </c>
      <c r="V9" s="6" t="n">
        <f aca="false">IF(AND(L9&gt;=$C9,L9&lt;=$D9,L9&lt;&gt;0),1,0)</f>
        <v>0</v>
      </c>
      <c r="W9" s="6" t="n">
        <f aca="false">IF(AND(O9&gt;=$C9,O9&lt;=$D9,O9&lt;&gt;0),1,0)</f>
        <v>0</v>
      </c>
      <c r="X9" s="6" t="n">
        <f aca="false">IF(AND(R9&gt;=$C9,R9&lt;=$D9,R9&lt;&gt;0),1,0)</f>
        <v>0</v>
      </c>
      <c r="Y9" s="6" t="n">
        <f aca="false">SUM($T9:$X9)</f>
        <v>0</v>
      </c>
      <c r="Z9" s="6" t="n">
        <f aca="false">IF($F9="n.a.",0,$F9*$T9)</f>
        <v>0</v>
      </c>
      <c r="AA9" s="6" t="n">
        <f aca="false">IF($I9="n.a.",0,$I9*$U9)</f>
        <v>0</v>
      </c>
      <c r="AB9" s="6" t="n">
        <f aca="false">IF($L9="n.a.",0,$L9*$V9)</f>
        <v>0</v>
      </c>
      <c r="AC9" s="6" t="n">
        <f aca="false">IF($O9="n.a.",0,$O9*$W9)</f>
        <v>0</v>
      </c>
      <c r="AD9" s="6" t="n">
        <f aca="false">IF($R9="n.a.",0,$R9*$X9)</f>
        <v>0</v>
      </c>
      <c r="AE9" s="28"/>
      <c r="AF9" s="6" t="n">
        <f aca="false">IF($G9="n.a.",0,$G9*$T9)</f>
        <v>0</v>
      </c>
      <c r="AG9" s="6" t="n">
        <f aca="false">IF($J9="n.a.",0,$J9*$U9)</f>
        <v>0</v>
      </c>
      <c r="AH9" s="6" t="n">
        <f aca="false">IF($M9="n.a.",0,$M9*$V9)</f>
        <v>0</v>
      </c>
      <c r="AI9" s="6" t="n">
        <f aca="false">IF($P9="n.a.",0,$P9*$W9)</f>
        <v>0</v>
      </c>
      <c r="AJ9" s="6" t="n">
        <f aca="false">IF($S9="n.a.",0,$S9*$X9)</f>
        <v>0</v>
      </c>
      <c r="AK9" s="29" t="n">
        <f aca="false">MAX($Z9:$AD9)</f>
        <v>0</v>
      </c>
      <c r="AL9" s="30" t="n">
        <f aca="false">INDEX(AF9:AJ9,1,MATCH(AK9,Z9:AD9,0))</f>
        <v>0</v>
      </c>
      <c r="AM9" s="6" t="str">
        <f aca="false">IF(IF(AND($T57=1,$T9=0),0,$AL9)=0,"",$AL9)</f>
        <v/>
      </c>
    </row>
    <row r="10" customFormat="false" ht="15" hidden="false" customHeight="false" outlineLevel="0" collapsed="false">
      <c r="A10" s="31" t="s">
        <v>33</v>
      </c>
      <c r="B10" s="32" t="str">
        <f aca="false">$AM10</f>
        <v/>
      </c>
      <c r="C10" s="5" t="n">
        <v>0.02</v>
      </c>
      <c r="D10" s="5" t="n">
        <v>0.2</v>
      </c>
      <c r="F10" s="26" t="n">
        <v>0.0035</v>
      </c>
      <c r="G10" s="26" t="n">
        <v>0.0035</v>
      </c>
      <c r="I10" s="5" t="n">
        <v>0.00259047350965533</v>
      </c>
      <c r="J10" s="27" t="n">
        <v>0.0259047350965533</v>
      </c>
      <c r="L10" s="5"/>
      <c r="M10" s="5"/>
      <c r="O10" s="5"/>
      <c r="P10" s="5"/>
      <c r="R10" s="5"/>
      <c r="S10" s="5"/>
      <c r="T10" s="6" t="n">
        <f aca="false">IF(AND(F10&gt;=$C10,F10&lt;=$D10,F10&lt;&gt;0,F10&lt;&gt;"n.a."),1,0)</f>
        <v>0</v>
      </c>
      <c r="U10" s="6" t="n">
        <f aca="false">IF(AND(I10&gt;=$C10,I10&lt;=$D10,I10&lt;&gt;0,I10&lt;&gt;"n.a."),1,0)</f>
        <v>0</v>
      </c>
      <c r="V10" s="6" t="n">
        <f aca="false">IF(AND(L10&gt;=$C10,L10&lt;=$D10,L10&lt;&gt;0),1,0)</f>
        <v>0</v>
      </c>
      <c r="W10" s="6" t="n">
        <f aca="false">IF(AND(O10&gt;=$C10,O10&lt;=$D10,O10&lt;&gt;0),1,0)</f>
        <v>0</v>
      </c>
      <c r="X10" s="6" t="n">
        <f aca="false">IF(AND(R10&gt;=$C10,R10&lt;=$D10,R10&lt;&gt;0),1,0)</f>
        <v>0</v>
      </c>
      <c r="Y10" s="6" t="n">
        <f aca="false">SUM($T10:$X10)</f>
        <v>0</v>
      </c>
      <c r="Z10" s="6" t="n">
        <f aca="false">IF($F10="n.a.",0,$F10*$T10)</f>
        <v>0</v>
      </c>
      <c r="AA10" s="6" t="n">
        <f aca="false">IF($I10="n.a.",0,$I10*$U10)</f>
        <v>0</v>
      </c>
      <c r="AB10" s="6" t="n">
        <f aca="false">IF($L10="n.a.",0,$L10*$V10)</f>
        <v>0</v>
      </c>
      <c r="AC10" s="6" t="n">
        <f aca="false">IF($O10="n.a.",0,$O10*$W10)</f>
        <v>0</v>
      </c>
      <c r="AD10" s="6" t="n">
        <f aca="false">IF($R10="n.a.",0,$R10*$X10)</f>
        <v>0</v>
      </c>
      <c r="AE10" s="28"/>
      <c r="AF10" s="6" t="n">
        <f aca="false">IF($G10="n.a.",0,$G10*$T10)</f>
        <v>0</v>
      </c>
      <c r="AG10" s="6" t="n">
        <f aca="false">IF($J10="n.a.",0,$J10*$U10)</f>
        <v>0</v>
      </c>
      <c r="AH10" s="6" t="n">
        <f aca="false">IF($M10="n.a.",0,$M10*$V10)</f>
        <v>0</v>
      </c>
      <c r="AI10" s="6" t="n">
        <f aca="false">IF($P10="n.a.",0,$P10*$W10)</f>
        <v>0</v>
      </c>
      <c r="AJ10" s="6" t="n">
        <f aca="false">IF($S10="n.a.",0,$S10*$X10)</f>
        <v>0</v>
      </c>
      <c r="AK10" s="29" t="n">
        <f aca="false">MAX($Z10:$AD10)</f>
        <v>0</v>
      </c>
      <c r="AL10" s="30" t="n">
        <f aca="false">INDEX(AF10:AJ10,1,MATCH(AK10,Z10:AD10,0))</f>
        <v>0</v>
      </c>
      <c r="AM10" s="6" t="str">
        <f aca="false">IF(IF(AND($T58=1,$T10=0),0,$AL10)=0,"",$AL10)</f>
        <v/>
      </c>
    </row>
    <row r="11" customFormat="false" ht="15" hidden="false" customHeight="false" outlineLevel="0" collapsed="false">
      <c r="A11" s="31" t="s">
        <v>34</v>
      </c>
      <c r="B11" s="32" t="str">
        <f aca="false">$AM11</f>
        <v/>
      </c>
      <c r="C11" s="5" t="n">
        <v>0.008</v>
      </c>
      <c r="D11" s="5" t="n">
        <v>0.2</v>
      </c>
      <c r="F11" s="26" t="n">
        <v>0.0011</v>
      </c>
      <c r="G11" s="26" t="n">
        <v>0.0011</v>
      </c>
      <c r="I11" s="5" t="n">
        <v>0.00101588519655557</v>
      </c>
      <c r="J11" s="27" t="n">
        <v>0.0101588519655557</v>
      </c>
      <c r="L11" s="5"/>
      <c r="M11" s="5"/>
      <c r="O11" s="5"/>
      <c r="P11" s="5"/>
      <c r="R11" s="5"/>
      <c r="S11" s="5"/>
      <c r="T11" s="6" t="n">
        <f aca="false">IF(AND(F11&gt;=$C11,F11&lt;=$D11,F11&lt;&gt;0,F11&lt;&gt;"n.a."),1,0)</f>
        <v>0</v>
      </c>
      <c r="U11" s="6" t="n">
        <f aca="false">IF(AND(I11&gt;=$C11,I11&lt;=$D11,I11&lt;&gt;0,I11&lt;&gt;"n.a."),1,0)</f>
        <v>0</v>
      </c>
      <c r="V11" s="6" t="n">
        <f aca="false">IF(AND(L11&gt;=$C11,L11&lt;=$D11,L11&lt;&gt;0),1,0)</f>
        <v>0</v>
      </c>
      <c r="W11" s="6" t="n">
        <f aca="false">IF(AND(O11&gt;=$C11,O11&lt;=$D11,O11&lt;&gt;0),1,0)</f>
        <v>0</v>
      </c>
      <c r="X11" s="6" t="n">
        <f aca="false">IF(AND(R11&gt;=$C11,R11&lt;=$D11,R11&lt;&gt;0),1,0)</f>
        <v>0</v>
      </c>
      <c r="Y11" s="6" t="n">
        <f aca="false">SUM($T11:$X11)</f>
        <v>0</v>
      </c>
      <c r="Z11" s="6" t="n">
        <f aca="false">IF($F11="n.a.",0,$F11*$T11)</f>
        <v>0</v>
      </c>
      <c r="AA11" s="6" t="n">
        <f aca="false">IF($I11="n.a.",0,$I11*$U11)</f>
        <v>0</v>
      </c>
      <c r="AB11" s="6" t="n">
        <f aca="false">IF($L11="n.a.",0,$L11*$V11)</f>
        <v>0</v>
      </c>
      <c r="AC11" s="6" t="n">
        <f aca="false">IF($O11="n.a.",0,$O11*$W11)</f>
        <v>0</v>
      </c>
      <c r="AD11" s="6" t="n">
        <f aca="false">IF($R11="n.a.",0,$R11*$X11)</f>
        <v>0</v>
      </c>
      <c r="AE11" s="28"/>
      <c r="AF11" s="6" t="n">
        <f aca="false">IF($G11="n.a.",0,$G11*$T11)</f>
        <v>0</v>
      </c>
      <c r="AG11" s="6" t="n">
        <f aca="false">IF($J11="n.a.",0,$J11*$U11)</f>
        <v>0</v>
      </c>
      <c r="AH11" s="6" t="n">
        <f aca="false">IF($M11="n.a.",0,$M11*$V11)</f>
        <v>0</v>
      </c>
      <c r="AI11" s="6" t="n">
        <f aca="false">IF($P11="n.a.",0,$P11*$W11)</f>
        <v>0</v>
      </c>
      <c r="AJ11" s="6" t="n">
        <f aca="false">IF($S11="n.a.",0,$S11*$X11)</f>
        <v>0</v>
      </c>
      <c r="AK11" s="29" t="n">
        <f aca="false">MAX($Z11:$AD11)</f>
        <v>0</v>
      </c>
      <c r="AL11" s="30" t="n">
        <f aca="false">INDEX(AF11:AJ11,1,MATCH(AK11,Z11:AD11,0))</f>
        <v>0</v>
      </c>
      <c r="AM11" s="6" t="str">
        <f aca="false">IF(IF(AND($T59=1,$T11=0),0,$AL11)=0,"",$AL11)</f>
        <v/>
      </c>
    </row>
    <row r="12" customFormat="false" ht="15" hidden="false" customHeight="false" outlineLevel="0" collapsed="false">
      <c r="A12" s="31" t="s">
        <v>35</v>
      </c>
      <c r="B12" s="32" t="str">
        <f aca="false">$AM12</f>
        <v/>
      </c>
      <c r="C12" s="5" t="n">
        <v>0.02</v>
      </c>
      <c r="D12" s="5" t="n">
        <v>0.2</v>
      </c>
      <c r="F12" s="26" t="n">
        <v>0.0047</v>
      </c>
      <c r="G12" s="26" t="n">
        <v>0.0047</v>
      </c>
      <c r="I12" s="5" t="n">
        <v>0.000950203538113325</v>
      </c>
      <c r="J12" s="27" t="n">
        <v>0.00950203538113325</v>
      </c>
      <c r="L12" s="5"/>
      <c r="M12" s="5"/>
      <c r="O12" s="5"/>
      <c r="P12" s="5"/>
      <c r="R12" s="5"/>
      <c r="S12" s="5"/>
      <c r="T12" s="6" t="n">
        <f aca="false">IF(AND(F12&gt;=$C12,F12&lt;=$D12,F12&lt;&gt;0,F12&lt;&gt;"n.a."),1,0)</f>
        <v>0</v>
      </c>
      <c r="U12" s="6" t="n">
        <f aca="false">IF(AND(I12&gt;=$C12,I12&lt;=$D12,I12&lt;&gt;0,I12&lt;&gt;"n.a."),1,0)</f>
        <v>0</v>
      </c>
      <c r="V12" s="6" t="n">
        <f aca="false">IF(AND(L12&gt;=$C12,L12&lt;=$D12,L12&lt;&gt;0),1,0)</f>
        <v>0</v>
      </c>
      <c r="W12" s="6" t="n">
        <f aca="false">IF(AND(O12&gt;=$C12,O12&lt;=$D12,O12&lt;&gt;0),1,0)</f>
        <v>0</v>
      </c>
      <c r="X12" s="6" t="n">
        <f aca="false">IF(AND(R12&gt;=$C12,R12&lt;=$D12,R12&lt;&gt;0),1,0)</f>
        <v>0</v>
      </c>
      <c r="Y12" s="6" t="n">
        <f aca="false">SUM($T12:$X12)</f>
        <v>0</v>
      </c>
      <c r="Z12" s="6" t="n">
        <f aca="false">IF($F12="n.a.",0,$F12*$T12)</f>
        <v>0</v>
      </c>
      <c r="AA12" s="6" t="n">
        <f aca="false">IF($I12="n.a.",0,$I12*$U12)</f>
        <v>0</v>
      </c>
      <c r="AB12" s="6" t="n">
        <f aca="false">IF($L12="n.a.",0,$L12*$V12)</f>
        <v>0</v>
      </c>
      <c r="AC12" s="6" t="n">
        <f aca="false">IF($O12="n.a.",0,$O12*$W12)</f>
        <v>0</v>
      </c>
      <c r="AD12" s="6" t="n">
        <f aca="false">IF($R12="n.a.",0,$R12*$X12)</f>
        <v>0</v>
      </c>
      <c r="AE12" s="28"/>
      <c r="AF12" s="6" t="n">
        <f aca="false">IF($G12="n.a.",0,$G12*$T12)</f>
        <v>0</v>
      </c>
      <c r="AG12" s="6" t="n">
        <f aca="false">IF($J12="n.a.",0,$J12*$U12)</f>
        <v>0</v>
      </c>
      <c r="AH12" s="6" t="n">
        <f aca="false">IF($M12="n.a.",0,$M12*$V12)</f>
        <v>0</v>
      </c>
      <c r="AI12" s="6" t="n">
        <f aca="false">IF($P12="n.a.",0,$P12*$W12)</f>
        <v>0</v>
      </c>
      <c r="AJ12" s="6" t="n">
        <f aca="false">IF($S12="n.a.",0,$S12*$X12)</f>
        <v>0</v>
      </c>
      <c r="AK12" s="29" t="n">
        <f aca="false">MAX($Z12:$AD12)</f>
        <v>0</v>
      </c>
      <c r="AL12" s="30" t="n">
        <f aca="false">INDEX(AF12:AJ12,1,MATCH(AK12,Z12:AD12,0))</f>
        <v>0</v>
      </c>
      <c r="AM12" s="6" t="str">
        <f aca="false">IF(IF(AND($T60=1,$T12=0),0,$AL12)=0,"",$AL12)</f>
        <v/>
      </c>
    </row>
    <row r="13" customFormat="false" ht="15" hidden="false" customHeight="false" outlineLevel="0" collapsed="false">
      <c r="A13" s="31" t="s">
        <v>36</v>
      </c>
      <c r="B13" s="32" t="str">
        <f aca="false">$AM13</f>
        <v/>
      </c>
      <c r="C13" s="5" t="n">
        <v>0.008</v>
      </c>
      <c r="D13" s="5" t="n">
        <v>0.2</v>
      </c>
      <c r="F13" s="26" t="n">
        <v>0.0015</v>
      </c>
      <c r="G13" s="26" t="n">
        <v>0.0015</v>
      </c>
      <c r="I13" s="5" t="n">
        <v>0.000491980700829606</v>
      </c>
      <c r="J13" s="27" t="n">
        <v>0.00491980700829606</v>
      </c>
      <c r="L13" s="5"/>
      <c r="M13" s="5"/>
      <c r="O13" s="5"/>
      <c r="P13" s="5"/>
      <c r="R13" s="5"/>
      <c r="S13" s="5"/>
      <c r="T13" s="6" t="n">
        <f aca="false">IF(AND(F13&gt;=$C13,F13&lt;=$D13,F13&lt;&gt;0,F13&lt;&gt;"n.a."),1,0)</f>
        <v>0</v>
      </c>
      <c r="U13" s="6" t="n">
        <f aca="false">IF(AND(I13&gt;=$C13,I13&lt;=$D13,I13&lt;&gt;0,I13&lt;&gt;"n.a."),1,0)</f>
        <v>0</v>
      </c>
      <c r="V13" s="6" t="n">
        <f aca="false">IF(AND(L13&gt;=$C13,L13&lt;=$D13,L13&lt;&gt;0),1,0)</f>
        <v>0</v>
      </c>
      <c r="W13" s="6" t="n">
        <f aca="false">IF(AND(O13&gt;=$C13,O13&lt;=$D13,O13&lt;&gt;0),1,0)</f>
        <v>0</v>
      </c>
      <c r="X13" s="6" t="n">
        <f aca="false">IF(AND(R13&gt;=$C13,R13&lt;=$D13,R13&lt;&gt;0),1,0)</f>
        <v>0</v>
      </c>
      <c r="Y13" s="6" t="n">
        <f aca="false">SUM($T13:$X13)</f>
        <v>0</v>
      </c>
      <c r="Z13" s="6" t="n">
        <f aca="false">IF($F13="n.a.",0,$F13*$T13)</f>
        <v>0</v>
      </c>
      <c r="AA13" s="6" t="n">
        <f aca="false">IF($I13="n.a.",0,$I13*$U13)</f>
        <v>0</v>
      </c>
      <c r="AB13" s="6" t="n">
        <f aca="false">IF($L13="n.a.",0,$L13*$V13)</f>
        <v>0</v>
      </c>
      <c r="AC13" s="6" t="n">
        <f aca="false">IF($O13="n.a.",0,$O13*$W13)</f>
        <v>0</v>
      </c>
      <c r="AD13" s="6" t="n">
        <f aca="false">IF($R13="n.a.",0,$R13*$X13)</f>
        <v>0</v>
      </c>
      <c r="AE13" s="28"/>
      <c r="AF13" s="6" t="n">
        <f aca="false">IF($G13="n.a.",0,$G13*$T13)</f>
        <v>0</v>
      </c>
      <c r="AG13" s="6" t="n">
        <f aca="false">IF($J13="n.a.",0,$J13*$U13)</f>
        <v>0</v>
      </c>
      <c r="AH13" s="6" t="n">
        <f aca="false">IF($M13="n.a.",0,$M13*$V13)</f>
        <v>0</v>
      </c>
      <c r="AI13" s="6" t="n">
        <f aca="false">IF($P13="n.a.",0,$P13*$W13)</f>
        <v>0</v>
      </c>
      <c r="AJ13" s="6" t="n">
        <f aca="false">IF($S13="n.a.",0,$S13*$X13)</f>
        <v>0</v>
      </c>
      <c r="AK13" s="29" t="n">
        <f aca="false">MAX($Z13:$AD13)</f>
        <v>0</v>
      </c>
      <c r="AL13" s="30" t="n">
        <f aca="false">INDEX(AF13:AJ13,1,MATCH(AK13,Z13:AD13,0))</f>
        <v>0</v>
      </c>
      <c r="AM13" s="6" t="str">
        <f aca="false">IF(IF(AND($T61=1,$T13=0),0,$AL13)=0,"",$AL13)</f>
        <v/>
      </c>
    </row>
    <row r="14" customFormat="false" ht="15" hidden="false" customHeight="false" outlineLevel="0" collapsed="false">
      <c r="A14" s="31" t="s">
        <v>37</v>
      </c>
      <c r="B14" s="32" t="n">
        <f aca="false">$AM14</f>
        <v>0.0011</v>
      </c>
      <c r="C14" s="5" t="n">
        <v>0.008</v>
      </c>
      <c r="D14" s="5" t="n">
        <v>0.2</v>
      </c>
      <c r="F14" s="26" t="n">
        <v>0.011</v>
      </c>
      <c r="G14" s="26" t="n">
        <v>0.0011</v>
      </c>
      <c r="I14" s="5" t="n">
        <v>0.00102703403520004</v>
      </c>
      <c r="J14" s="27" t="n">
        <v>0.0102703403520004</v>
      </c>
      <c r="L14" s="5"/>
      <c r="M14" s="5"/>
      <c r="O14" s="5"/>
      <c r="P14" s="5"/>
      <c r="R14" s="5"/>
      <c r="S14" s="5"/>
      <c r="T14" s="6" t="n">
        <f aca="false">IF(AND(F14&gt;=$C14,F14&lt;=$D14,F14&lt;&gt;0,F14&lt;&gt;"n.a."),1,0)</f>
        <v>1</v>
      </c>
      <c r="U14" s="6" t="n">
        <f aca="false">IF(AND(I14&gt;=$C14,I14&lt;=$D14,I14&lt;&gt;0,I14&lt;&gt;"n.a."),1,0)</f>
        <v>0</v>
      </c>
      <c r="V14" s="6" t="n">
        <f aca="false">IF(AND(L14&gt;=$C14,L14&lt;=$D14,L14&lt;&gt;0),1,0)</f>
        <v>0</v>
      </c>
      <c r="W14" s="6" t="n">
        <f aca="false">IF(AND(O14&gt;=$C14,O14&lt;=$D14,O14&lt;&gt;0),1,0)</f>
        <v>0</v>
      </c>
      <c r="X14" s="6" t="n">
        <f aca="false">IF(AND(R14&gt;=$C14,R14&lt;=$D14,R14&lt;&gt;0),1,0)</f>
        <v>0</v>
      </c>
      <c r="Y14" s="6" t="n">
        <f aca="false">SUM($T14:$X14)</f>
        <v>1</v>
      </c>
      <c r="Z14" s="6" t="n">
        <f aca="false">IF($F14="n.a.",0,$F14*$T14)</f>
        <v>0.011</v>
      </c>
      <c r="AA14" s="6" t="n">
        <f aca="false">IF($I14="n.a.",0,$I14*$U14)</f>
        <v>0</v>
      </c>
      <c r="AB14" s="6" t="n">
        <f aca="false">IF($L14="n.a.",0,$L14*$V14)</f>
        <v>0</v>
      </c>
      <c r="AC14" s="6" t="n">
        <f aca="false">IF($O14="n.a.",0,$O14*$W14)</f>
        <v>0</v>
      </c>
      <c r="AD14" s="6" t="n">
        <f aca="false">IF($R14="n.a.",0,$R14*$X14)</f>
        <v>0</v>
      </c>
      <c r="AE14" s="28"/>
      <c r="AF14" s="6" t="n">
        <f aca="false">IF($G14="n.a.",0,$G14*$T14)</f>
        <v>0.0011</v>
      </c>
      <c r="AG14" s="6" t="n">
        <f aca="false">IF($J14="n.a.",0,$J14*$U14)</f>
        <v>0</v>
      </c>
      <c r="AH14" s="6" t="n">
        <f aca="false">IF($M14="n.a.",0,$M14*$V14)</f>
        <v>0</v>
      </c>
      <c r="AI14" s="6" t="n">
        <f aca="false">IF($P14="n.a.",0,$P14*$W14)</f>
        <v>0</v>
      </c>
      <c r="AJ14" s="6" t="n">
        <f aca="false">IF($S14="n.a.",0,$S14*$X14)</f>
        <v>0</v>
      </c>
      <c r="AK14" s="29" t="n">
        <f aca="false">MAX($Z14:$AD14)</f>
        <v>0.011</v>
      </c>
      <c r="AL14" s="30" t="n">
        <f aca="false">INDEX(AF14:AJ14,1,MATCH(AK14,Z14:AD14,0))</f>
        <v>0.0011</v>
      </c>
      <c r="AM14" s="30" t="n">
        <f aca="false">IF(IF(AND($T62=1,$T14=0),0,$AL14)=0,"",$AL14)</f>
        <v>0.0011</v>
      </c>
    </row>
    <row r="15" customFormat="false" ht="15" hidden="false" customHeight="false" outlineLevel="0" collapsed="false">
      <c r="A15" s="31" t="s">
        <v>38</v>
      </c>
      <c r="B15" s="32" t="str">
        <f aca="false">$AM15</f>
        <v/>
      </c>
      <c r="C15" s="5" t="n">
        <v>0.008</v>
      </c>
      <c r="D15" s="5" t="n">
        <v>0.2</v>
      </c>
      <c r="F15" s="26" t="s">
        <v>32</v>
      </c>
      <c r="G15" s="26" t="s">
        <v>32</v>
      </c>
      <c r="I15" s="5"/>
      <c r="J15" s="27"/>
      <c r="L15" s="5"/>
      <c r="M15" s="5"/>
      <c r="O15" s="5"/>
      <c r="P15" s="5"/>
      <c r="R15" s="5"/>
      <c r="S15" s="5"/>
      <c r="T15" s="6" t="n">
        <f aca="false">IF(AND(F15&gt;=$C15,F15&lt;=$D15,F15&lt;&gt;0,F15&lt;&gt;"n.a."),1,0)</f>
        <v>0</v>
      </c>
      <c r="U15" s="6" t="n">
        <f aca="false">IF(AND(I15&gt;=$C15,I15&lt;=$D15,I15&lt;&gt;0,I15&lt;&gt;"n.a."),1,0)</f>
        <v>0</v>
      </c>
      <c r="V15" s="6" t="n">
        <f aca="false">IF(AND(L15&gt;=$C15,L15&lt;=$D15,L15&lt;&gt;0),1,0)</f>
        <v>0</v>
      </c>
      <c r="W15" s="6" t="n">
        <f aca="false">IF(AND(O15&gt;=$C15,O15&lt;=$D15,O15&lt;&gt;0),1,0)</f>
        <v>0</v>
      </c>
      <c r="X15" s="6" t="n">
        <f aca="false">IF(AND(R15&gt;=$C15,R15&lt;=$D15,R15&lt;&gt;0),1,0)</f>
        <v>0</v>
      </c>
      <c r="Y15" s="6" t="n">
        <f aca="false">SUM($T15:$X15)</f>
        <v>0</v>
      </c>
      <c r="Z15" s="6" t="n">
        <f aca="false">IF($F15="n.a.",0,$F15*$T15)</f>
        <v>0</v>
      </c>
      <c r="AA15" s="6" t="n">
        <f aca="false">IF($I15="n.a.",0,$I15*$U15)</f>
        <v>0</v>
      </c>
      <c r="AB15" s="6" t="n">
        <f aca="false">IF($L15="n.a.",0,$L15*$V15)</f>
        <v>0</v>
      </c>
      <c r="AC15" s="6" t="n">
        <f aca="false">IF($O15="n.a.",0,$O15*$W15)</f>
        <v>0</v>
      </c>
      <c r="AD15" s="6" t="n">
        <f aca="false">IF($R15="n.a.",0,$R15*$X15)</f>
        <v>0</v>
      </c>
      <c r="AE15" s="28"/>
      <c r="AF15" s="6" t="n">
        <f aca="false">IF($G15="n.a.",0,$G15*$T15)</f>
        <v>0</v>
      </c>
      <c r="AG15" s="6" t="n">
        <f aca="false">IF($J15="n.a.",0,$J15*$U15)</f>
        <v>0</v>
      </c>
      <c r="AH15" s="6" t="n">
        <f aca="false">IF($M15="n.a.",0,$M15*$V15)</f>
        <v>0</v>
      </c>
      <c r="AI15" s="6" t="n">
        <f aca="false">IF($P15="n.a.",0,$P15*$W15)</f>
        <v>0</v>
      </c>
      <c r="AJ15" s="6" t="n">
        <f aca="false">IF($S15="n.a.",0,$S15*$X15)</f>
        <v>0</v>
      </c>
      <c r="AK15" s="29" t="n">
        <f aca="false">MAX($Z15:$AD15)</f>
        <v>0</v>
      </c>
      <c r="AL15" s="30" t="n">
        <f aca="false">INDEX(AF15:AJ15,1,MATCH(AK15,Z15:AD15,0))</f>
        <v>0</v>
      </c>
      <c r="AM15" s="6" t="str">
        <f aca="false">IF(IF(AND($T63=1,$T15=0),0,$AL15)=0,"",$AL15)</f>
        <v/>
      </c>
    </row>
    <row r="16" customFormat="false" ht="15" hidden="false" customHeight="false" outlineLevel="0" collapsed="false">
      <c r="A16" s="31" t="s">
        <v>39</v>
      </c>
      <c r="B16" s="32" t="str">
        <f aca="false">$AM16</f>
        <v/>
      </c>
      <c r="C16" s="5" t="n">
        <v>0.008</v>
      </c>
      <c r="D16" s="5" t="n">
        <v>0.2</v>
      </c>
      <c r="F16" s="26" t="n">
        <v>0.0004</v>
      </c>
      <c r="G16" s="26" t="n">
        <v>0.0004</v>
      </c>
      <c r="I16" s="5" t="n">
        <v>0.000369675167149507</v>
      </c>
      <c r="J16" s="27" t="n">
        <v>0.00369675167149507</v>
      </c>
      <c r="L16" s="5"/>
      <c r="M16" s="5"/>
      <c r="O16" s="5"/>
      <c r="P16" s="5"/>
      <c r="R16" s="5"/>
      <c r="S16" s="5"/>
      <c r="T16" s="6" t="n">
        <f aca="false">IF(AND(F16&gt;=$C16,F16&lt;=$D16,F16&lt;&gt;0,F16&lt;&gt;"n.a."),1,0)</f>
        <v>0</v>
      </c>
      <c r="U16" s="6" t="n">
        <f aca="false">IF(AND(I16&gt;=$C16,I16&lt;=$D16,I16&lt;&gt;0,I16&lt;&gt;"n.a."),1,0)</f>
        <v>0</v>
      </c>
      <c r="V16" s="6" t="n">
        <f aca="false">IF(AND(L16&gt;=$C16,L16&lt;=$D16,L16&lt;&gt;0),1,0)</f>
        <v>0</v>
      </c>
      <c r="W16" s="6" t="n">
        <f aca="false">IF(AND(O16&gt;=$C16,O16&lt;=$D16,O16&lt;&gt;0),1,0)</f>
        <v>0</v>
      </c>
      <c r="X16" s="6" t="n">
        <f aca="false">IF(AND(R16&gt;=$C16,R16&lt;=$D16,R16&lt;&gt;0),1,0)</f>
        <v>0</v>
      </c>
      <c r="Y16" s="6" t="n">
        <f aca="false">SUM($T16:$X16)</f>
        <v>0</v>
      </c>
      <c r="Z16" s="6" t="n">
        <f aca="false">IF($F16="n.a.",0,$F16*$T16)</f>
        <v>0</v>
      </c>
      <c r="AA16" s="6" t="n">
        <f aca="false">IF($I16="n.a.",0,$I16*$U16)</f>
        <v>0</v>
      </c>
      <c r="AB16" s="6" t="n">
        <f aca="false">IF($L16="n.a.",0,$L16*$V16)</f>
        <v>0</v>
      </c>
      <c r="AC16" s="6" t="n">
        <f aca="false">IF($O16="n.a.",0,$O16*$W16)</f>
        <v>0</v>
      </c>
      <c r="AD16" s="6" t="n">
        <f aca="false">IF($R16="n.a.",0,$R16*$X16)</f>
        <v>0</v>
      </c>
      <c r="AE16" s="28"/>
      <c r="AF16" s="6" t="n">
        <f aca="false">IF($G16="n.a.",0,$G16*$T16)</f>
        <v>0</v>
      </c>
      <c r="AG16" s="6" t="n">
        <f aca="false">IF($J16="n.a.",0,$J16*$U16)</f>
        <v>0</v>
      </c>
      <c r="AH16" s="6" t="n">
        <f aca="false">IF($M16="n.a.",0,$M16*$V16)</f>
        <v>0</v>
      </c>
      <c r="AI16" s="6" t="n">
        <f aca="false">IF($P16="n.a.",0,$P16*$W16)</f>
        <v>0</v>
      </c>
      <c r="AJ16" s="6" t="n">
        <f aca="false">IF($S16="n.a.",0,$S16*$X16)</f>
        <v>0</v>
      </c>
      <c r="AK16" s="29" t="n">
        <f aca="false">MAX($Z16:$AD16)</f>
        <v>0</v>
      </c>
      <c r="AL16" s="30" t="n">
        <f aca="false">INDEX(AF16:AJ16,1,MATCH(AK16,Z16:AD16,0))</f>
        <v>0</v>
      </c>
      <c r="AM16" s="6" t="str">
        <f aca="false">IF(IF(AND($T64=1,$T16=0),0,$AL16)=0,"",$AL16)</f>
        <v/>
      </c>
    </row>
    <row r="17" customFormat="false" ht="15" hidden="false" customHeight="false" outlineLevel="0" collapsed="false">
      <c r="A17" s="31" t="s">
        <v>40</v>
      </c>
      <c r="B17" s="32" t="str">
        <f aca="false">$AM17</f>
        <v/>
      </c>
      <c r="C17" s="5" t="n">
        <v>0.02</v>
      </c>
      <c r="D17" s="5" t="n">
        <v>0.2</v>
      </c>
      <c r="F17" s="26" t="s">
        <v>32</v>
      </c>
      <c r="G17" s="26" t="s">
        <v>32</v>
      </c>
      <c r="I17" s="5"/>
      <c r="J17" s="27"/>
      <c r="L17" s="5"/>
      <c r="M17" s="5"/>
      <c r="O17" s="5"/>
      <c r="P17" s="5"/>
      <c r="R17" s="5"/>
      <c r="S17" s="5"/>
      <c r="T17" s="6" t="n">
        <f aca="false">IF(AND(F17&gt;=$C17,F17&lt;=$D17,F17&lt;&gt;0,F17&lt;&gt;"n.a."),1,0)</f>
        <v>0</v>
      </c>
      <c r="U17" s="6" t="n">
        <f aca="false">IF(AND(I17&gt;=$C17,I17&lt;=$D17,I17&lt;&gt;0,I17&lt;&gt;"n.a."),1,0)</f>
        <v>0</v>
      </c>
      <c r="V17" s="6" t="n">
        <f aca="false">IF(AND(L17&gt;=$C17,L17&lt;=$D17,L17&lt;&gt;0),1,0)</f>
        <v>0</v>
      </c>
      <c r="W17" s="6" t="n">
        <f aca="false">IF(AND(O17&gt;=$C17,O17&lt;=$D17,O17&lt;&gt;0),1,0)</f>
        <v>0</v>
      </c>
      <c r="X17" s="6" t="n">
        <f aca="false">IF(AND(R17&gt;=$C17,R17&lt;=$D17,R17&lt;&gt;0),1,0)</f>
        <v>0</v>
      </c>
      <c r="Y17" s="6" t="n">
        <f aca="false">SUM($T17:$X17)</f>
        <v>0</v>
      </c>
      <c r="Z17" s="6" t="n">
        <f aca="false">IF($F17="n.a.",0,$F17*$T17)</f>
        <v>0</v>
      </c>
      <c r="AA17" s="6" t="n">
        <f aca="false">IF($I17="n.a.",0,$I17*$U17)</f>
        <v>0</v>
      </c>
      <c r="AB17" s="6" t="n">
        <f aca="false">IF($L17="n.a.",0,$L17*$V17)</f>
        <v>0</v>
      </c>
      <c r="AC17" s="6" t="n">
        <f aca="false">IF($O17="n.a.",0,$O17*$W17)</f>
        <v>0</v>
      </c>
      <c r="AD17" s="6" t="n">
        <f aca="false">IF($R17="n.a.",0,$R17*$X17)</f>
        <v>0</v>
      </c>
      <c r="AE17" s="28"/>
      <c r="AF17" s="6" t="n">
        <f aca="false">IF($G17="n.a.",0,$G17*$T17)</f>
        <v>0</v>
      </c>
      <c r="AG17" s="6" t="n">
        <f aca="false">IF($J17="n.a.",0,$J17*$U17)</f>
        <v>0</v>
      </c>
      <c r="AH17" s="6" t="n">
        <f aca="false">IF($M17="n.a.",0,$M17*$V17)</f>
        <v>0</v>
      </c>
      <c r="AI17" s="6" t="n">
        <f aca="false">IF($P17="n.a.",0,$P17*$W17)</f>
        <v>0</v>
      </c>
      <c r="AJ17" s="6" t="n">
        <f aca="false">IF($S17="n.a.",0,$S17*$X17)</f>
        <v>0</v>
      </c>
      <c r="AK17" s="29" t="n">
        <f aca="false">MAX($Z17:$AD17)</f>
        <v>0</v>
      </c>
      <c r="AL17" s="30" t="n">
        <f aca="false">INDEX(AF17:AJ17,1,MATCH(AK17,Z17:AD17,0))</f>
        <v>0</v>
      </c>
      <c r="AM17" s="6" t="str">
        <f aca="false">IF(IF(AND($T65=1,$T17=0),0,$AL17)=0,"",$AL17)</f>
        <v/>
      </c>
    </row>
    <row r="18" customFormat="false" ht="15" hidden="false" customHeight="false" outlineLevel="0" collapsed="false">
      <c r="A18" s="31" t="s">
        <v>41</v>
      </c>
      <c r="B18" s="32" t="str">
        <f aca="false">$AM18</f>
        <v/>
      </c>
      <c r="C18" s="5" t="n">
        <v>0.008</v>
      </c>
      <c r="D18" s="5" t="n">
        <v>0.2</v>
      </c>
      <c r="F18" s="26" t="n">
        <v>0.0007</v>
      </c>
      <c r="G18" s="26" t="n">
        <v>0.0007</v>
      </c>
      <c r="I18" s="5" t="n">
        <v>0.000656097088402437</v>
      </c>
      <c r="J18" s="27" t="n">
        <v>0.00656097088402437</v>
      </c>
      <c r="L18" s="5"/>
      <c r="M18" s="5"/>
      <c r="O18" s="5"/>
      <c r="P18" s="5"/>
      <c r="R18" s="5"/>
      <c r="S18" s="5"/>
      <c r="T18" s="6" t="n">
        <f aca="false">IF(AND(F18&gt;=$C18,F18&lt;=$D18,F18&lt;&gt;0,F18&lt;&gt;"n.a."),1,0)</f>
        <v>0</v>
      </c>
      <c r="U18" s="6" t="n">
        <f aca="false">IF(AND(I18&gt;=$C18,I18&lt;=$D18,I18&lt;&gt;0,I18&lt;&gt;"n.a."),1,0)</f>
        <v>0</v>
      </c>
      <c r="V18" s="6" t="n">
        <f aca="false">IF(AND(L18&gt;=$C18,L18&lt;=$D18,L18&lt;&gt;0),1,0)</f>
        <v>0</v>
      </c>
      <c r="W18" s="6" t="n">
        <f aca="false">IF(AND(O18&gt;=$C18,O18&lt;=$D18,O18&lt;&gt;0),1,0)</f>
        <v>0</v>
      </c>
      <c r="X18" s="6" t="n">
        <f aca="false">IF(AND(R18&gt;=$C18,R18&lt;=$D18,R18&lt;&gt;0),1,0)</f>
        <v>0</v>
      </c>
      <c r="Y18" s="6" t="n">
        <f aca="false">SUM($T18:$X18)</f>
        <v>0</v>
      </c>
      <c r="Z18" s="6" t="n">
        <f aca="false">IF($F18="n.a.",0,$F18*$T18)</f>
        <v>0</v>
      </c>
      <c r="AA18" s="6" t="n">
        <f aca="false">IF($I18="n.a.",0,$I18*$U18)</f>
        <v>0</v>
      </c>
      <c r="AB18" s="6" t="n">
        <f aca="false">IF($L18="n.a.",0,$L18*$V18)</f>
        <v>0</v>
      </c>
      <c r="AC18" s="6" t="n">
        <f aca="false">IF($O18="n.a.",0,$O18*$W18)</f>
        <v>0</v>
      </c>
      <c r="AD18" s="6" t="n">
        <f aca="false">IF($R18="n.a.",0,$R18*$X18)</f>
        <v>0</v>
      </c>
      <c r="AE18" s="28"/>
      <c r="AF18" s="6" t="n">
        <f aca="false">IF($G18="n.a.",0,$G18*$T18)</f>
        <v>0</v>
      </c>
      <c r="AG18" s="6" t="n">
        <f aca="false">IF($J18="n.a.",0,$J18*$U18)</f>
        <v>0</v>
      </c>
      <c r="AH18" s="6" t="n">
        <f aca="false">IF($M18="n.a.",0,$M18*$V18)</f>
        <v>0</v>
      </c>
      <c r="AI18" s="6" t="n">
        <f aca="false">IF($P18="n.a.",0,$P18*$W18)</f>
        <v>0</v>
      </c>
      <c r="AJ18" s="6" t="n">
        <f aca="false">IF($S18="n.a.",0,$S18*$X18)</f>
        <v>0</v>
      </c>
      <c r="AK18" s="29" t="n">
        <f aca="false">MAX($Z18:$AD18)</f>
        <v>0</v>
      </c>
      <c r="AL18" s="30" t="n">
        <f aca="false">INDEX(AF18:AJ18,1,MATCH(AK18,Z18:AD18,0))</f>
        <v>0</v>
      </c>
      <c r="AM18" s="6" t="str">
        <f aca="false">IF(IF(AND($T66=1,$T18=0),0,$AL18)=0,"",$AL18)</f>
        <v/>
      </c>
    </row>
    <row r="19" customFormat="false" ht="15" hidden="false" customHeight="false" outlineLevel="0" collapsed="false">
      <c r="A19" s="31" t="s">
        <v>42</v>
      </c>
      <c r="B19" s="32" t="str">
        <f aca="false">$AM19</f>
        <v/>
      </c>
      <c r="C19" s="5" t="n">
        <v>0.008</v>
      </c>
      <c r="D19" s="5" t="n">
        <v>0.2</v>
      </c>
      <c r="F19" s="26" t="n">
        <v>11.9951</v>
      </c>
      <c r="G19" s="26" t="n">
        <v>11.9951</v>
      </c>
      <c r="I19" s="5" t="n">
        <v>1.13673304142706</v>
      </c>
      <c r="J19" s="27" t="n">
        <v>11.3673304142706</v>
      </c>
      <c r="L19" s="5"/>
      <c r="M19" s="5"/>
      <c r="O19" s="5"/>
      <c r="P19" s="5"/>
      <c r="R19" s="5"/>
      <c r="S19" s="5"/>
      <c r="T19" s="6" t="n">
        <f aca="false">IF(AND(F19&gt;=$C19,F19&lt;=$D19,F19&lt;&gt;0,F19&lt;&gt;"n.a."),1,0)</f>
        <v>0</v>
      </c>
      <c r="U19" s="6" t="n">
        <f aca="false">IF(AND(I19&gt;=$C19,I19&lt;=$D19,I19&lt;&gt;0,I19&lt;&gt;"n.a."),1,0)</f>
        <v>0</v>
      </c>
      <c r="V19" s="6" t="n">
        <f aca="false">IF(AND(L19&gt;=$C19,L19&lt;=$D19,L19&lt;&gt;0),1,0)</f>
        <v>0</v>
      </c>
      <c r="W19" s="6" t="n">
        <f aca="false">IF(AND(O19&gt;=$C19,O19&lt;=$D19,O19&lt;&gt;0),1,0)</f>
        <v>0</v>
      </c>
      <c r="X19" s="6" t="n">
        <f aca="false">IF(AND(R19&gt;=$C19,R19&lt;=$D19,R19&lt;&gt;0),1,0)</f>
        <v>0</v>
      </c>
      <c r="Y19" s="6" t="n">
        <f aca="false">SUM($T19:$X19)</f>
        <v>0</v>
      </c>
      <c r="Z19" s="6" t="n">
        <f aca="false">IF($F19="n.a.",0,$F19*$T19)</f>
        <v>0</v>
      </c>
      <c r="AA19" s="6" t="n">
        <f aca="false">IF($I19="n.a.",0,$I19*$U19)</f>
        <v>0</v>
      </c>
      <c r="AB19" s="6" t="n">
        <f aca="false">IF($L19="n.a.",0,$L19*$V19)</f>
        <v>0</v>
      </c>
      <c r="AC19" s="6" t="n">
        <f aca="false">IF($O19="n.a.",0,$O19*$W19)</f>
        <v>0</v>
      </c>
      <c r="AD19" s="6" t="n">
        <f aca="false">IF($R19="n.a.",0,$R19*$X19)</f>
        <v>0</v>
      </c>
      <c r="AE19" s="28"/>
      <c r="AF19" s="6" t="n">
        <f aca="false">IF($G19="n.a.",0,$G19*$T19)</f>
        <v>0</v>
      </c>
      <c r="AG19" s="6" t="n">
        <f aca="false">IF($J19="n.a.",0,$J19*$U19)</f>
        <v>0</v>
      </c>
      <c r="AH19" s="6" t="n">
        <f aca="false">IF($M19="n.a.",0,$M19*$V19)</f>
        <v>0</v>
      </c>
      <c r="AI19" s="6" t="n">
        <f aca="false">IF($P19="n.a.",0,$P19*$W19)</f>
        <v>0</v>
      </c>
      <c r="AJ19" s="6" t="n">
        <f aca="false">IF($S19="n.a.",0,$S19*$X19)</f>
        <v>0</v>
      </c>
      <c r="AK19" s="29" t="n">
        <f aca="false">MAX($Z19:$AD19)</f>
        <v>0</v>
      </c>
      <c r="AL19" s="30" t="n">
        <f aca="false">INDEX(AF19:AJ19,1,MATCH(AK19,Z19:AD19,0))</f>
        <v>0</v>
      </c>
      <c r="AM19" s="6" t="str">
        <f aca="false">IF(IF(AND($T67=1,$T19=0),0,$AL19)=0,"",$AL19)</f>
        <v/>
      </c>
    </row>
    <row r="20" customFormat="false" ht="15" hidden="false" customHeight="false" outlineLevel="0" collapsed="false">
      <c r="A20" s="31" t="s">
        <v>43</v>
      </c>
      <c r="B20" s="32" t="str">
        <f aca="false">$AM20</f>
        <v/>
      </c>
      <c r="C20" s="5" t="n">
        <v>0.008</v>
      </c>
      <c r="D20" s="5" t="n">
        <v>0.2</v>
      </c>
      <c r="F20" s="26" t="n">
        <v>0.0016</v>
      </c>
      <c r="G20" s="26" t="n">
        <v>0.0016</v>
      </c>
      <c r="I20" s="5" t="n">
        <v>0.00167770307253966</v>
      </c>
      <c r="J20" s="27" t="n">
        <v>0.0167770307253966</v>
      </c>
      <c r="L20" s="5"/>
      <c r="M20" s="5"/>
      <c r="O20" s="5"/>
      <c r="P20" s="5"/>
      <c r="R20" s="5"/>
      <c r="S20" s="5"/>
      <c r="T20" s="6" t="n">
        <f aca="false">IF(AND(F20&gt;=$C20,F20&lt;=$D20,F20&lt;&gt;0,F20&lt;&gt;"n.a."),1,0)</f>
        <v>0</v>
      </c>
      <c r="U20" s="6" t="n">
        <f aca="false">IF(AND(I20&gt;=$C20,I20&lt;=$D20,I20&lt;&gt;0,I20&lt;&gt;"n.a."),1,0)</f>
        <v>0</v>
      </c>
      <c r="V20" s="6" t="n">
        <f aca="false">IF(AND(L20&gt;=$C20,L20&lt;=$D20,L20&lt;&gt;0),1,0)</f>
        <v>0</v>
      </c>
      <c r="W20" s="6" t="n">
        <f aca="false">IF(AND(O20&gt;=$C20,O20&lt;=$D20,O20&lt;&gt;0),1,0)</f>
        <v>0</v>
      </c>
      <c r="X20" s="6" t="n">
        <f aca="false">IF(AND(R20&gt;=$C20,R20&lt;=$D20,R20&lt;&gt;0),1,0)</f>
        <v>0</v>
      </c>
      <c r="Y20" s="6" t="n">
        <f aca="false">SUM($T20:$X20)</f>
        <v>0</v>
      </c>
      <c r="Z20" s="6" t="n">
        <f aca="false">IF($F20="n.a.",0,$F20*$T20)</f>
        <v>0</v>
      </c>
      <c r="AA20" s="6" t="n">
        <f aca="false">IF($I20="n.a.",0,$I20*$U20)</f>
        <v>0</v>
      </c>
      <c r="AB20" s="6" t="n">
        <f aca="false">IF($L20="n.a.",0,$L20*$V20)</f>
        <v>0</v>
      </c>
      <c r="AC20" s="6" t="n">
        <f aca="false">IF($O20="n.a.",0,$O20*$W20)</f>
        <v>0</v>
      </c>
      <c r="AD20" s="6" t="n">
        <f aca="false">IF($R20="n.a.",0,$R20*$X20)</f>
        <v>0</v>
      </c>
      <c r="AE20" s="28"/>
      <c r="AF20" s="6" t="n">
        <f aca="false">IF($G20="n.a.",0,$G20*$T20)</f>
        <v>0</v>
      </c>
      <c r="AG20" s="6" t="n">
        <f aca="false">IF($J20="n.a.",0,$J20*$U20)</f>
        <v>0</v>
      </c>
      <c r="AH20" s="6" t="n">
        <f aca="false">IF($M20="n.a.",0,$M20*$V20)</f>
        <v>0</v>
      </c>
      <c r="AI20" s="6" t="n">
        <f aca="false">IF($P20="n.a.",0,$P20*$W20)</f>
        <v>0</v>
      </c>
      <c r="AJ20" s="6" t="n">
        <f aca="false">IF($S20="n.a.",0,$S20*$X20)</f>
        <v>0</v>
      </c>
      <c r="AK20" s="29" t="n">
        <f aca="false">MAX($Z20:$AD20)</f>
        <v>0</v>
      </c>
      <c r="AL20" s="30" t="n">
        <f aca="false">INDEX(AF20:AJ20,1,MATCH(AK20,Z20:AD20,0))</f>
        <v>0</v>
      </c>
      <c r="AM20" s="6" t="str">
        <f aca="false">IF(IF(AND($T68=1,$T20=0),0,$AL20)=0,"",$AL20)</f>
        <v/>
      </c>
    </row>
    <row r="21" customFormat="false" ht="15" hidden="false" customHeight="false" outlineLevel="0" collapsed="false">
      <c r="A21" s="31" t="s">
        <v>44</v>
      </c>
      <c r="B21" s="32" t="str">
        <f aca="false">$AM21</f>
        <v/>
      </c>
      <c r="C21" s="5" t="n">
        <v>0.008</v>
      </c>
      <c r="D21" s="5" t="n">
        <v>0.2</v>
      </c>
      <c r="F21" s="26" t="n">
        <v>0.0036</v>
      </c>
      <c r="G21" s="26" t="n">
        <v>0.0036</v>
      </c>
      <c r="I21" s="5" t="n">
        <v>0.00271967963006283</v>
      </c>
      <c r="J21" s="27" t="n">
        <v>0.0271967963006283</v>
      </c>
      <c r="L21" s="5"/>
      <c r="M21" s="5"/>
      <c r="O21" s="5"/>
      <c r="P21" s="5"/>
      <c r="R21" s="5"/>
      <c r="S21" s="5"/>
      <c r="T21" s="6" t="n">
        <f aca="false">IF(AND(F21&gt;=$C21,F21&lt;=$D21,F21&lt;&gt;0,F21&lt;&gt;"n.a."),1,0)</f>
        <v>0</v>
      </c>
      <c r="U21" s="6" t="n">
        <f aca="false">IF(AND(I21&gt;=$C21,I21&lt;=$D21,I21&lt;&gt;0,I21&lt;&gt;"n.a."),1,0)</f>
        <v>0</v>
      </c>
      <c r="V21" s="6" t="n">
        <f aca="false">IF(AND(L21&gt;=$C21,L21&lt;=$D21,L21&lt;&gt;0),1,0)</f>
        <v>0</v>
      </c>
      <c r="W21" s="6" t="n">
        <f aca="false">IF(AND(O21&gt;=$C21,O21&lt;=$D21,O21&lt;&gt;0),1,0)</f>
        <v>0</v>
      </c>
      <c r="X21" s="6" t="n">
        <f aca="false">IF(AND(R21&gt;=$C21,R21&lt;=$D21,R21&lt;&gt;0),1,0)</f>
        <v>0</v>
      </c>
      <c r="Y21" s="6" t="n">
        <f aca="false">SUM($T21:$X21)</f>
        <v>0</v>
      </c>
      <c r="Z21" s="6" t="n">
        <f aca="false">IF($F21="n.a.",0,$F21*$T21)</f>
        <v>0</v>
      </c>
      <c r="AA21" s="6" t="n">
        <f aca="false">IF($I21="n.a.",0,$I21*$U21)</f>
        <v>0</v>
      </c>
      <c r="AB21" s="6" t="n">
        <f aca="false">IF($L21="n.a.",0,$L21*$V21)</f>
        <v>0</v>
      </c>
      <c r="AC21" s="6" t="n">
        <f aca="false">IF($O21="n.a.",0,$O21*$W21)</f>
        <v>0</v>
      </c>
      <c r="AD21" s="6" t="n">
        <f aca="false">IF($R21="n.a.",0,$R21*$X21)</f>
        <v>0</v>
      </c>
      <c r="AE21" s="28"/>
      <c r="AF21" s="6" t="n">
        <f aca="false">IF($G21="n.a.",0,$G21*$T21)</f>
        <v>0</v>
      </c>
      <c r="AG21" s="6" t="n">
        <f aca="false">IF($J21="n.a.",0,$J21*$U21)</f>
        <v>0</v>
      </c>
      <c r="AH21" s="6" t="n">
        <f aca="false">IF($M21="n.a.",0,$M21*$V21)</f>
        <v>0</v>
      </c>
      <c r="AI21" s="6" t="n">
        <f aca="false">IF($P21="n.a.",0,$P21*$W21)</f>
        <v>0</v>
      </c>
      <c r="AJ21" s="6" t="n">
        <f aca="false">IF($S21="n.a.",0,$S21*$X21)</f>
        <v>0</v>
      </c>
      <c r="AK21" s="29" t="n">
        <f aca="false">MAX($Z21:$AD21)</f>
        <v>0</v>
      </c>
      <c r="AL21" s="30" t="n">
        <f aca="false">INDEX(AF21:AJ21,1,MATCH(AK21,Z21:AD21,0))</f>
        <v>0</v>
      </c>
      <c r="AM21" s="6" t="str">
        <f aca="false">IF(IF(AND($T69=1,$T21=0),0,$AL21)=0,"",$AL21)</f>
        <v/>
      </c>
    </row>
    <row r="22" customFormat="false" ht="15" hidden="false" customHeight="false" outlineLevel="0" collapsed="false">
      <c r="A22" s="31" t="s">
        <v>45</v>
      </c>
      <c r="B22" s="32" t="str">
        <f aca="false">$AM22</f>
        <v/>
      </c>
      <c r="C22" s="5" t="n">
        <v>0.008</v>
      </c>
      <c r="D22" s="5" t="n">
        <v>0.2</v>
      </c>
      <c r="F22" s="26" t="n">
        <v>0.001</v>
      </c>
      <c r="G22" s="26" t="n">
        <v>0.001</v>
      </c>
      <c r="I22" s="5" t="n">
        <v>0.000858844988496464</v>
      </c>
      <c r="J22" s="27" t="n">
        <v>0.00858844988496464</v>
      </c>
      <c r="L22" s="5"/>
      <c r="M22" s="5"/>
      <c r="O22" s="5"/>
      <c r="P22" s="5"/>
      <c r="R22" s="5"/>
      <c r="S22" s="5"/>
      <c r="T22" s="6" t="n">
        <f aca="false">IF(AND(F22&gt;=$C22,F22&lt;=$D22,F22&lt;&gt;0,F22&lt;&gt;"n.a."),1,0)</f>
        <v>0</v>
      </c>
      <c r="U22" s="6" t="n">
        <f aca="false">IF(AND(I22&gt;=$C22,I22&lt;=$D22,I22&lt;&gt;0,I22&lt;&gt;"n.a."),1,0)</f>
        <v>0</v>
      </c>
      <c r="V22" s="6" t="n">
        <f aca="false">IF(AND(L22&gt;=$C22,L22&lt;=$D22,L22&lt;&gt;0),1,0)</f>
        <v>0</v>
      </c>
      <c r="W22" s="6" t="n">
        <f aca="false">IF(AND(O22&gt;=$C22,O22&lt;=$D22,O22&lt;&gt;0),1,0)</f>
        <v>0</v>
      </c>
      <c r="X22" s="6" t="n">
        <f aca="false">IF(AND(R22&gt;=$C22,R22&lt;=$D22,R22&lt;&gt;0),1,0)</f>
        <v>0</v>
      </c>
      <c r="Y22" s="6" t="n">
        <f aca="false">SUM($T22:$X22)</f>
        <v>0</v>
      </c>
      <c r="Z22" s="6" t="n">
        <f aca="false">IF($F22="n.a.",0,$F22*$T22)</f>
        <v>0</v>
      </c>
      <c r="AA22" s="6" t="n">
        <f aca="false">IF($I22="n.a.",0,$I22*$U22)</f>
        <v>0</v>
      </c>
      <c r="AB22" s="6" t="n">
        <f aca="false">IF($L22="n.a.",0,$L22*$V22)</f>
        <v>0</v>
      </c>
      <c r="AC22" s="6" t="n">
        <f aca="false">IF($O22="n.a.",0,$O22*$W22)</f>
        <v>0</v>
      </c>
      <c r="AD22" s="6" t="n">
        <f aca="false">IF($R22="n.a.",0,$R22*$X22)</f>
        <v>0</v>
      </c>
      <c r="AE22" s="28"/>
      <c r="AF22" s="6" t="n">
        <f aca="false">IF($G22="n.a.",0,$G22*$T22)</f>
        <v>0</v>
      </c>
      <c r="AG22" s="6" t="n">
        <f aca="false">IF($J22="n.a.",0,$J22*$U22)</f>
        <v>0</v>
      </c>
      <c r="AH22" s="6" t="n">
        <f aca="false">IF($M22="n.a.",0,$M22*$V22)</f>
        <v>0</v>
      </c>
      <c r="AI22" s="6" t="n">
        <f aca="false">IF($P22="n.a.",0,$P22*$W22)</f>
        <v>0</v>
      </c>
      <c r="AJ22" s="6" t="n">
        <f aca="false">IF($S22="n.a.",0,$S22*$X22)</f>
        <v>0</v>
      </c>
      <c r="AK22" s="29" t="n">
        <f aca="false">MAX($Z22:$AD22)</f>
        <v>0</v>
      </c>
      <c r="AL22" s="30" t="n">
        <f aca="false">INDEX(AF22:AJ22,1,MATCH(AK22,Z22:AD22,0))</f>
        <v>0</v>
      </c>
      <c r="AM22" s="6" t="str">
        <f aca="false">IF(IF(AND($T70=1,$T22=0),0,$AL22)=0,"",$AL22)</f>
        <v/>
      </c>
    </row>
    <row r="23" customFormat="false" ht="15" hidden="false" customHeight="false" outlineLevel="0" collapsed="false">
      <c r="A23" s="31" t="s">
        <v>46</v>
      </c>
      <c r="B23" s="32" t="str">
        <f aca="false">$AM23</f>
        <v/>
      </c>
      <c r="C23" s="5" t="n">
        <v>0.008</v>
      </c>
      <c r="D23" s="5" t="n">
        <v>0.2</v>
      </c>
      <c r="F23" s="26" t="n">
        <v>0.0029</v>
      </c>
      <c r="G23" s="26" t="n">
        <v>0.0029</v>
      </c>
      <c r="I23" s="5" t="n">
        <v>0.00053114408605034</v>
      </c>
      <c r="J23" s="27" t="n">
        <v>0.0053114408605034</v>
      </c>
      <c r="L23" s="5"/>
      <c r="M23" s="5"/>
      <c r="O23" s="5"/>
      <c r="P23" s="5"/>
      <c r="R23" s="5"/>
      <c r="S23" s="5"/>
      <c r="T23" s="6" t="n">
        <f aca="false">IF(AND(F23&gt;=$C23,F23&lt;=$D23,F23&lt;&gt;0,F23&lt;&gt;"n.a."),1,0)</f>
        <v>0</v>
      </c>
      <c r="U23" s="6" t="n">
        <f aca="false">IF(AND(I23&gt;=$C23,I23&lt;=$D23,I23&lt;&gt;0,I23&lt;&gt;"n.a."),1,0)</f>
        <v>0</v>
      </c>
      <c r="V23" s="6" t="n">
        <f aca="false">IF(AND(L23&gt;=$C23,L23&lt;=$D23,L23&lt;&gt;0),1,0)</f>
        <v>0</v>
      </c>
      <c r="W23" s="6" t="n">
        <f aca="false">IF(AND(O23&gt;=$C23,O23&lt;=$D23,O23&lt;&gt;0),1,0)</f>
        <v>0</v>
      </c>
      <c r="X23" s="6" t="n">
        <f aca="false">IF(AND(R23&gt;=$C23,R23&lt;=$D23,R23&lt;&gt;0),1,0)</f>
        <v>0</v>
      </c>
      <c r="Y23" s="6" t="n">
        <f aca="false">SUM($T23:$X23)</f>
        <v>0</v>
      </c>
      <c r="Z23" s="6" t="n">
        <f aca="false">IF($F23="n.a.",0,$F23*$T23)</f>
        <v>0</v>
      </c>
      <c r="AA23" s="6" t="n">
        <f aca="false">IF($I23="n.a.",0,$I23*$U23)</f>
        <v>0</v>
      </c>
      <c r="AB23" s="6" t="n">
        <f aca="false">IF($L23="n.a.",0,$L23*$V23)</f>
        <v>0</v>
      </c>
      <c r="AC23" s="6" t="n">
        <f aca="false">IF($O23="n.a.",0,$O23*$W23)</f>
        <v>0</v>
      </c>
      <c r="AD23" s="6" t="n">
        <f aca="false">IF($R23="n.a.",0,$R23*$X23)</f>
        <v>0</v>
      </c>
      <c r="AE23" s="28"/>
      <c r="AF23" s="6" t="n">
        <f aca="false">IF($G23="n.a.",0,$G23*$T23)</f>
        <v>0</v>
      </c>
      <c r="AG23" s="6" t="n">
        <f aca="false">IF($J23="n.a.",0,$J23*$U23)</f>
        <v>0</v>
      </c>
      <c r="AH23" s="6" t="n">
        <f aca="false">IF($M23="n.a.",0,$M23*$V23)</f>
        <v>0</v>
      </c>
      <c r="AI23" s="6" t="n">
        <f aca="false">IF($P23="n.a.",0,$P23*$W23)</f>
        <v>0</v>
      </c>
      <c r="AJ23" s="6" t="n">
        <f aca="false">IF($S23="n.a.",0,$S23*$X23)</f>
        <v>0</v>
      </c>
      <c r="AK23" s="29" t="n">
        <f aca="false">MAX($Z23:$AD23)</f>
        <v>0</v>
      </c>
      <c r="AL23" s="30" t="n">
        <f aca="false">INDEX(AF23:AJ23,1,MATCH(AK23,Z23:AD23,0))</f>
        <v>0</v>
      </c>
      <c r="AM23" s="6" t="str">
        <f aca="false">IF(IF(AND($T71=1,$T23=0),0,$AL23)=0,"",$AL23)</f>
        <v/>
      </c>
    </row>
    <row r="24" customFormat="false" ht="15" hidden="false" customHeight="false" outlineLevel="0" collapsed="false">
      <c r="A24" s="31" t="s">
        <v>47</v>
      </c>
      <c r="B24" s="32" t="str">
        <f aca="false">$AM24</f>
        <v/>
      </c>
      <c r="C24" s="5" t="n">
        <v>0.02</v>
      </c>
      <c r="D24" s="5" t="n">
        <v>0.2</v>
      </c>
      <c r="F24" s="26" t="n">
        <v>0.0004</v>
      </c>
      <c r="G24" s="26" t="n">
        <v>0.0004</v>
      </c>
      <c r="I24" s="5" t="n">
        <v>0.0009975379046438</v>
      </c>
      <c r="J24" s="27" t="n">
        <v>0.009975379046438</v>
      </c>
      <c r="L24" s="5"/>
      <c r="M24" s="5"/>
      <c r="O24" s="5"/>
      <c r="P24" s="5"/>
      <c r="R24" s="5"/>
      <c r="S24" s="5"/>
      <c r="T24" s="6" t="n">
        <f aca="false">IF(AND(F24&gt;=$C24,F24&lt;=$D24,F24&lt;&gt;0,F24&lt;&gt;"n.a."),1,0)</f>
        <v>0</v>
      </c>
      <c r="U24" s="6" t="n">
        <f aca="false">IF(AND(I24&gt;=$C24,I24&lt;=$D24,I24&lt;&gt;0,I24&lt;&gt;"n.a."),1,0)</f>
        <v>0</v>
      </c>
      <c r="V24" s="6" t="n">
        <f aca="false">IF(AND(L24&gt;=$C24,L24&lt;=$D24,L24&lt;&gt;0),1,0)</f>
        <v>0</v>
      </c>
      <c r="W24" s="6" t="n">
        <f aca="false">IF(AND(O24&gt;=$C24,O24&lt;=$D24,O24&lt;&gt;0),1,0)</f>
        <v>0</v>
      </c>
      <c r="X24" s="6" t="n">
        <f aca="false">IF(AND(R24&gt;=$C24,R24&lt;=$D24,R24&lt;&gt;0),1,0)</f>
        <v>0</v>
      </c>
      <c r="Y24" s="6" t="n">
        <f aca="false">SUM($T24:$X24)</f>
        <v>0</v>
      </c>
      <c r="Z24" s="6" t="n">
        <f aca="false">IF($F24="n.a.",0,$F24*$T24)</f>
        <v>0</v>
      </c>
      <c r="AA24" s="6" t="n">
        <f aca="false">IF($I24="n.a.",0,$I24*$U24)</f>
        <v>0</v>
      </c>
      <c r="AB24" s="6" t="n">
        <f aca="false">IF($L24="n.a.",0,$L24*$V24)</f>
        <v>0</v>
      </c>
      <c r="AC24" s="6" t="n">
        <f aca="false">IF($O24="n.a.",0,$O24*$W24)</f>
        <v>0</v>
      </c>
      <c r="AD24" s="6" t="n">
        <f aca="false">IF($R24="n.a.",0,$R24*$X24)</f>
        <v>0</v>
      </c>
      <c r="AE24" s="28"/>
      <c r="AF24" s="6" t="n">
        <f aca="false">IF($G24="n.a.",0,$G24*$T24)</f>
        <v>0</v>
      </c>
      <c r="AG24" s="6" t="n">
        <f aca="false">IF($J24="n.a.",0,$J24*$U24)</f>
        <v>0</v>
      </c>
      <c r="AH24" s="6" t="n">
        <f aca="false">IF($M24="n.a.",0,$M24*$V24)</f>
        <v>0</v>
      </c>
      <c r="AI24" s="6" t="n">
        <f aca="false">IF($P24="n.a.",0,$P24*$W24)</f>
        <v>0</v>
      </c>
      <c r="AJ24" s="6" t="n">
        <f aca="false">IF($S24="n.a.",0,$S24*$X24)</f>
        <v>0</v>
      </c>
      <c r="AK24" s="29" t="n">
        <f aca="false">MAX($Z24:$AD24)</f>
        <v>0</v>
      </c>
      <c r="AL24" s="30" t="n">
        <f aca="false">INDEX(AF24:AJ24,1,MATCH(AK24,Z24:AD24,0))</f>
        <v>0</v>
      </c>
      <c r="AM24" s="6" t="str">
        <f aca="false">IF(IF(AND($T72=1,$T24=0),0,$AL24)=0,"",$AL24)</f>
        <v/>
      </c>
    </row>
    <row r="25" customFormat="false" ht="15" hidden="false" customHeight="false" outlineLevel="0" collapsed="false">
      <c r="A25" s="31" t="s">
        <v>48</v>
      </c>
      <c r="B25" s="32" t="str">
        <f aca="false">$AM25</f>
        <v/>
      </c>
      <c r="C25" s="5" t="n">
        <v>0.008</v>
      </c>
      <c r="D25" s="5" t="n">
        <v>0.2</v>
      </c>
      <c r="F25" s="26" t="n">
        <v>0.0011</v>
      </c>
      <c r="G25" s="26" t="n">
        <v>0.0011</v>
      </c>
      <c r="I25" s="5" t="n">
        <v>0.000443651027746704</v>
      </c>
      <c r="J25" s="27" t="n">
        <v>0.00443651027746704</v>
      </c>
      <c r="L25" s="5"/>
      <c r="M25" s="5"/>
      <c r="O25" s="5"/>
      <c r="P25" s="5"/>
      <c r="R25" s="5"/>
      <c r="S25" s="5"/>
      <c r="T25" s="6" t="n">
        <f aca="false">IF(AND(F25&gt;=$C25,F25&lt;=$D25,F25&lt;&gt;0,F25&lt;&gt;"n.a."),1,0)</f>
        <v>0</v>
      </c>
      <c r="U25" s="6" t="n">
        <f aca="false">IF(AND(I25&gt;=$C25,I25&lt;=$D25,I25&lt;&gt;0,I25&lt;&gt;"n.a."),1,0)</f>
        <v>0</v>
      </c>
      <c r="V25" s="6" t="n">
        <f aca="false">IF(AND(L25&gt;=$C25,L25&lt;=$D25,L25&lt;&gt;0),1,0)</f>
        <v>0</v>
      </c>
      <c r="W25" s="6" t="n">
        <f aca="false">IF(AND(O25&gt;=$C25,O25&lt;=$D25,O25&lt;&gt;0),1,0)</f>
        <v>0</v>
      </c>
      <c r="X25" s="6" t="n">
        <f aca="false">IF(AND(R25&gt;=$C25,R25&lt;=$D25,R25&lt;&gt;0),1,0)</f>
        <v>0</v>
      </c>
      <c r="Y25" s="6" t="n">
        <f aca="false">SUM($T25:$X25)</f>
        <v>0</v>
      </c>
      <c r="Z25" s="6" t="n">
        <f aca="false">IF($F25="n.a.",0,$F25*$T25)</f>
        <v>0</v>
      </c>
      <c r="AA25" s="6" t="n">
        <f aca="false">IF($I25="n.a.",0,$I25*$U25)</f>
        <v>0</v>
      </c>
      <c r="AB25" s="6" t="n">
        <f aca="false">IF($L25="n.a.",0,$L25*$V25)</f>
        <v>0</v>
      </c>
      <c r="AC25" s="6" t="n">
        <f aca="false">IF($O25="n.a.",0,$O25*$W25)</f>
        <v>0</v>
      </c>
      <c r="AD25" s="6" t="n">
        <f aca="false">IF($R25="n.a.",0,$R25*$X25)</f>
        <v>0</v>
      </c>
      <c r="AE25" s="28"/>
      <c r="AF25" s="6" t="n">
        <f aca="false">IF($G25="n.a.",0,$G25*$T25)</f>
        <v>0</v>
      </c>
      <c r="AG25" s="6" t="n">
        <f aca="false">IF($J25="n.a.",0,$J25*$U25)</f>
        <v>0</v>
      </c>
      <c r="AH25" s="6" t="n">
        <f aca="false">IF($M25="n.a.",0,$M25*$V25)</f>
        <v>0</v>
      </c>
      <c r="AI25" s="6" t="n">
        <f aca="false">IF($P25="n.a.",0,$P25*$W25)</f>
        <v>0</v>
      </c>
      <c r="AJ25" s="6" t="n">
        <f aca="false">IF($S25="n.a.",0,$S25*$X25)</f>
        <v>0</v>
      </c>
      <c r="AK25" s="29" t="n">
        <f aca="false">MAX($Z25:$AD25)</f>
        <v>0</v>
      </c>
      <c r="AL25" s="30" t="n">
        <f aca="false">INDEX(AF25:AJ25,1,MATCH(AK25,Z25:AD25,0))</f>
        <v>0</v>
      </c>
      <c r="AM25" s="6" t="str">
        <f aca="false">IF(IF(AND($T73=1,$T25=0),0,$AL25)=0,"",$AL25)</f>
        <v/>
      </c>
    </row>
    <row r="26" customFormat="false" ht="15" hidden="false" customHeight="false" outlineLevel="0" collapsed="false">
      <c r="A26" s="31" t="s">
        <v>49</v>
      </c>
      <c r="B26" s="32" t="str">
        <f aca="false">$AM26</f>
        <v/>
      </c>
      <c r="C26" s="5" t="n">
        <v>0.008</v>
      </c>
      <c r="D26" s="5" t="n">
        <v>0.2</v>
      </c>
      <c r="F26" s="26" t="n">
        <v>0.0015</v>
      </c>
      <c r="G26" s="26" t="n">
        <v>0.0015</v>
      </c>
      <c r="I26" s="5" t="n">
        <v>0.269071700190138</v>
      </c>
      <c r="J26" s="27" t="n">
        <v>2.69071700190138</v>
      </c>
      <c r="L26" s="5"/>
      <c r="M26" s="5"/>
      <c r="O26" s="5"/>
      <c r="P26" s="5"/>
      <c r="R26" s="5"/>
      <c r="S26" s="5"/>
      <c r="T26" s="6" t="n">
        <f aca="false">IF(AND(F26&gt;=$C26,F26&lt;=$D26,F26&lt;&gt;0,F26&lt;&gt;"n.a."),1,0)</f>
        <v>0</v>
      </c>
      <c r="U26" s="6" t="n">
        <f aca="false">IF(AND(I26&gt;=$C26,I26&lt;=$D26,I26&lt;&gt;0,I26&lt;&gt;"n.a."),1,0)</f>
        <v>0</v>
      </c>
      <c r="V26" s="6" t="n">
        <f aca="false">IF(AND(L26&gt;=$C26,L26&lt;=$D26,L26&lt;&gt;0),1,0)</f>
        <v>0</v>
      </c>
      <c r="W26" s="6" t="n">
        <f aca="false">IF(AND(O26&gt;=$C26,O26&lt;=$D26,O26&lt;&gt;0),1,0)</f>
        <v>0</v>
      </c>
      <c r="X26" s="6" t="n">
        <f aca="false">IF(AND(R26&gt;=$C26,R26&lt;=$D26,R26&lt;&gt;0),1,0)</f>
        <v>0</v>
      </c>
      <c r="Y26" s="6" t="n">
        <f aca="false">SUM($T26:$X26)</f>
        <v>0</v>
      </c>
      <c r="Z26" s="6" t="n">
        <f aca="false">IF($F26="n.a.",0,$F26*$T26)</f>
        <v>0</v>
      </c>
      <c r="AA26" s="6" t="n">
        <f aca="false">IF($I26="n.a.",0,$I26*$U26)</f>
        <v>0</v>
      </c>
      <c r="AB26" s="6" t="n">
        <f aca="false">IF($L26="n.a.",0,$L26*$V26)</f>
        <v>0</v>
      </c>
      <c r="AC26" s="6" t="n">
        <f aca="false">IF($O26="n.a.",0,$O26*$W26)</f>
        <v>0</v>
      </c>
      <c r="AD26" s="6" t="n">
        <f aca="false">IF($R26="n.a.",0,$R26*$X26)</f>
        <v>0</v>
      </c>
      <c r="AE26" s="28"/>
      <c r="AF26" s="6" t="n">
        <f aca="false">IF($G26="n.a.",0,$G26*$T26)</f>
        <v>0</v>
      </c>
      <c r="AG26" s="6" t="n">
        <f aca="false">IF($J26="n.a.",0,$J26*$U26)</f>
        <v>0</v>
      </c>
      <c r="AH26" s="6" t="n">
        <f aca="false">IF($M26="n.a.",0,$M26*$V26)</f>
        <v>0</v>
      </c>
      <c r="AI26" s="6" t="n">
        <f aca="false">IF($P26="n.a.",0,$P26*$W26)</f>
        <v>0</v>
      </c>
      <c r="AJ26" s="6" t="n">
        <f aca="false">IF($S26="n.a.",0,$S26*$X26)</f>
        <v>0</v>
      </c>
      <c r="AK26" s="29" t="n">
        <f aca="false">MAX($Z26:$AD26)</f>
        <v>0</v>
      </c>
      <c r="AL26" s="30" t="n">
        <f aca="false">INDEX(AF26:AJ26,1,MATCH(AK26,Z26:AD26,0))</f>
        <v>0</v>
      </c>
      <c r="AM26" s="6" t="str">
        <f aca="false">IF(IF(AND($T74=1,$T26=0),0,$AL26)=0,"",$AL26)</f>
        <v/>
      </c>
    </row>
    <row r="27" customFormat="false" ht="15" hidden="false" customHeight="false" outlineLevel="0" collapsed="false">
      <c r="A27" s="31" t="s">
        <v>50</v>
      </c>
      <c r="B27" s="32" t="str">
        <f aca="false">$AM27</f>
        <v/>
      </c>
      <c r="C27" s="5" t="n">
        <v>0.008</v>
      </c>
      <c r="D27" s="5" t="n">
        <v>0.2</v>
      </c>
      <c r="F27" s="26" t="n">
        <v>2.8305</v>
      </c>
      <c r="G27" s="26" t="n">
        <v>2.8305</v>
      </c>
      <c r="I27" s="5" t="n">
        <v>0.000233996402719329</v>
      </c>
      <c r="J27" s="27" t="n">
        <v>0.00233996402719329</v>
      </c>
      <c r="L27" s="5"/>
      <c r="M27" s="5"/>
      <c r="O27" s="5"/>
      <c r="P27" s="5"/>
      <c r="R27" s="5"/>
      <c r="S27" s="5"/>
      <c r="T27" s="6" t="n">
        <f aca="false">IF(AND(F27&gt;=$C27,F27&lt;=$D27,F27&lt;&gt;0,F27&lt;&gt;"n.a."),1,0)</f>
        <v>0</v>
      </c>
      <c r="U27" s="6" t="n">
        <f aca="false">IF(AND(I27&gt;=$C27,I27&lt;=$D27,I27&lt;&gt;0,I27&lt;&gt;"n.a."),1,0)</f>
        <v>0</v>
      </c>
      <c r="V27" s="6" t="n">
        <f aca="false">IF(AND(L27&gt;=$C27,L27&lt;=$D27,L27&lt;&gt;0),1,0)</f>
        <v>0</v>
      </c>
      <c r="W27" s="6" t="n">
        <f aca="false">IF(AND(O27&gt;=$C27,O27&lt;=$D27,O27&lt;&gt;0),1,0)</f>
        <v>0</v>
      </c>
      <c r="X27" s="6" t="n">
        <f aca="false">IF(AND(R27&gt;=$C27,R27&lt;=$D27,R27&lt;&gt;0),1,0)</f>
        <v>0</v>
      </c>
      <c r="Y27" s="6" t="n">
        <f aca="false">SUM($T27:$X27)</f>
        <v>0</v>
      </c>
      <c r="Z27" s="6" t="n">
        <f aca="false">IF($F27="n.a.",0,$F27*$T27)</f>
        <v>0</v>
      </c>
      <c r="AA27" s="6" t="n">
        <f aca="false">IF($I27="n.a.",0,$I27*$U27)</f>
        <v>0</v>
      </c>
      <c r="AB27" s="6" t="n">
        <f aca="false">IF($L27="n.a.",0,$L27*$V27)</f>
        <v>0</v>
      </c>
      <c r="AC27" s="6" t="n">
        <f aca="false">IF($O27="n.a.",0,$O27*$W27)</f>
        <v>0</v>
      </c>
      <c r="AD27" s="6" t="n">
        <f aca="false">IF($R27="n.a.",0,$R27*$X27)</f>
        <v>0</v>
      </c>
      <c r="AE27" s="28"/>
      <c r="AF27" s="6" t="n">
        <f aca="false">IF($G27="n.a.",0,$G27*$T27)</f>
        <v>0</v>
      </c>
      <c r="AG27" s="6" t="n">
        <f aca="false">IF($J27="n.a.",0,$J27*$U27)</f>
        <v>0</v>
      </c>
      <c r="AH27" s="6" t="n">
        <f aca="false">IF($M27="n.a.",0,$M27*$V27)</f>
        <v>0</v>
      </c>
      <c r="AI27" s="6" t="n">
        <f aca="false">IF($P27="n.a.",0,$P27*$W27)</f>
        <v>0</v>
      </c>
      <c r="AJ27" s="6" t="n">
        <f aca="false">IF($S27="n.a.",0,$S27*$X27)</f>
        <v>0</v>
      </c>
      <c r="AK27" s="29" t="n">
        <f aca="false">MAX($Z27:$AD27)</f>
        <v>0</v>
      </c>
      <c r="AL27" s="30" t="n">
        <f aca="false">INDEX(AF27:AJ27,1,MATCH(AK27,Z27:AD27,0))</f>
        <v>0</v>
      </c>
      <c r="AM27" s="6" t="str">
        <f aca="false">IF(IF(AND($T75=1,$T27=0),0,$AL27)=0,"",$AL27)</f>
        <v/>
      </c>
    </row>
    <row r="28" customFormat="false" ht="15" hidden="false" customHeight="false" outlineLevel="0" collapsed="false">
      <c r="A28" s="31" t="s">
        <v>51</v>
      </c>
      <c r="B28" s="32" t="str">
        <f aca="false">$AM28</f>
        <v/>
      </c>
      <c r="C28" s="5" t="n">
        <v>0.008</v>
      </c>
      <c r="D28" s="5" t="n">
        <v>0.2</v>
      </c>
      <c r="F28" s="26"/>
      <c r="G28" s="26"/>
      <c r="I28" s="5"/>
      <c r="J28" s="27"/>
      <c r="L28" s="5"/>
      <c r="M28" s="5"/>
      <c r="O28" s="5"/>
      <c r="P28" s="5"/>
      <c r="R28" s="5"/>
      <c r="S28" s="5"/>
      <c r="T28" s="6" t="n">
        <f aca="false">IF(AND(F28&gt;=$C28,F28&lt;=$D28,F28&lt;&gt;0,F28&lt;&gt;"n.a."),1,0)</f>
        <v>0</v>
      </c>
      <c r="U28" s="6" t="n">
        <f aca="false">IF(AND(I28&gt;=$C28,I28&lt;=$D28,I28&lt;&gt;0,I28&lt;&gt;"n.a."),1,0)</f>
        <v>0</v>
      </c>
      <c r="V28" s="6" t="n">
        <f aca="false">IF(AND(L28&gt;=$C28,L28&lt;=$D28,L28&lt;&gt;0),1,0)</f>
        <v>0</v>
      </c>
      <c r="W28" s="6" t="n">
        <f aca="false">IF(AND(O28&gt;=$C28,O28&lt;=$D28,O28&lt;&gt;0),1,0)</f>
        <v>0</v>
      </c>
      <c r="X28" s="6" t="n">
        <f aca="false">IF(AND(R28&gt;=$C28,R28&lt;=$D28,R28&lt;&gt;0),1,0)</f>
        <v>0</v>
      </c>
      <c r="Y28" s="6" t="n">
        <f aca="false">SUM($T28:$X28)</f>
        <v>0</v>
      </c>
      <c r="Z28" s="6" t="n">
        <f aca="false">IF($F28="n.a.",0,$F28*$T28)</f>
        <v>0</v>
      </c>
      <c r="AA28" s="6" t="n">
        <f aca="false">IF($I28="n.a.",0,$I28*$U28)</f>
        <v>0</v>
      </c>
      <c r="AB28" s="6" t="n">
        <f aca="false">IF($L28="n.a.",0,$L28*$V28)</f>
        <v>0</v>
      </c>
      <c r="AC28" s="6" t="n">
        <f aca="false">IF($O28="n.a.",0,$O28*$W28)</f>
        <v>0</v>
      </c>
      <c r="AD28" s="6" t="n">
        <f aca="false">IF($R28="n.a.",0,$R28*$X28)</f>
        <v>0</v>
      </c>
      <c r="AE28" s="28"/>
      <c r="AF28" s="6" t="n">
        <f aca="false">IF($G28="n.a.",0,$G28*$T28)</f>
        <v>0</v>
      </c>
      <c r="AG28" s="6" t="n">
        <f aca="false">IF($J28="n.a.",0,$J28*$U28)</f>
        <v>0</v>
      </c>
      <c r="AH28" s="6" t="n">
        <f aca="false">IF($M28="n.a.",0,$M28*$V28)</f>
        <v>0</v>
      </c>
      <c r="AI28" s="6" t="n">
        <f aca="false">IF($P28="n.a.",0,$P28*$W28)</f>
        <v>0</v>
      </c>
      <c r="AJ28" s="6" t="n">
        <f aca="false">IF($S28="n.a.",0,$S28*$X28)</f>
        <v>0</v>
      </c>
      <c r="AK28" s="29" t="n">
        <f aca="false">MAX($Z28:$AD28)</f>
        <v>0</v>
      </c>
      <c r="AL28" s="30" t="n">
        <f aca="false">INDEX(AF28:AJ28,1,MATCH(AK28,Z28:AD28,0))</f>
        <v>0</v>
      </c>
      <c r="AM28" s="6" t="str">
        <f aca="false">IF(IF(AND($T76=1,$T28=0),0,$AL28)=0,"",$AL28)</f>
        <v/>
      </c>
    </row>
    <row r="29" customFormat="false" ht="15" hidden="false" customHeight="false" outlineLevel="0" collapsed="false">
      <c r="A29" s="31" t="s">
        <v>52</v>
      </c>
      <c r="B29" s="32" t="str">
        <f aca="false">$AM29</f>
        <v/>
      </c>
      <c r="C29" s="5" t="n">
        <v>0.008</v>
      </c>
      <c r="D29" s="5" t="n">
        <v>0.2</v>
      </c>
      <c r="F29" s="26" t="n">
        <v>0.0032</v>
      </c>
      <c r="G29" s="26" t="n">
        <v>0.0032</v>
      </c>
      <c r="I29" s="5" t="n">
        <v>0.0026681688348326</v>
      </c>
      <c r="J29" s="27" t="n">
        <v>0.026681688348326</v>
      </c>
      <c r="L29" s="5"/>
      <c r="M29" s="5"/>
      <c r="O29" s="5"/>
      <c r="P29" s="5"/>
      <c r="R29" s="5"/>
      <c r="S29" s="5"/>
      <c r="T29" s="6" t="n">
        <f aca="false">IF(AND(F29&gt;=$C29,F29&lt;=$D29,F29&lt;&gt;0,F29&lt;&gt;"n.a."),1,0)</f>
        <v>0</v>
      </c>
      <c r="U29" s="6" t="n">
        <f aca="false">IF(AND(I29&gt;=$C29,I29&lt;=$D29,I29&lt;&gt;0,I29&lt;&gt;"n.a."),1,0)</f>
        <v>0</v>
      </c>
      <c r="V29" s="6" t="n">
        <f aca="false">IF(AND(L29&gt;=$C29,L29&lt;=$D29,L29&lt;&gt;0),1,0)</f>
        <v>0</v>
      </c>
      <c r="W29" s="6" t="n">
        <f aca="false">IF(AND(O29&gt;=$C29,O29&lt;=$D29,O29&lt;&gt;0),1,0)</f>
        <v>0</v>
      </c>
      <c r="X29" s="6" t="n">
        <f aca="false">IF(AND(R29&gt;=$C29,R29&lt;=$D29,R29&lt;&gt;0),1,0)</f>
        <v>0</v>
      </c>
      <c r="Y29" s="6" t="n">
        <f aca="false">SUM($T29:$X29)</f>
        <v>0</v>
      </c>
      <c r="Z29" s="6" t="n">
        <f aca="false">IF($F29="n.a.",0,$F29*$T29)</f>
        <v>0</v>
      </c>
      <c r="AA29" s="6" t="n">
        <f aca="false">IF($I29="n.a.",0,$I29*$U29)</f>
        <v>0</v>
      </c>
      <c r="AB29" s="6" t="n">
        <f aca="false">IF($L29="n.a.",0,$L29*$V29)</f>
        <v>0</v>
      </c>
      <c r="AC29" s="6" t="n">
        <f aca="false">IF($O29="n.a.",0,$O29*$W29)</f>
        <v>0</v>
      </c>
      <c r="AD29" s="6" t="n">
        <f aca="false">IF($R29="n.a.",0,$R29*$X29)</f>
        <v>0</v>
      </c>
      <c r="AE29" s="28"/>
      <c r="AF29" s="6" t="n">
        <f aca="false">IF($G29="n.a.",0,$G29*$T29)</f>
        <v>0</v>
      </c>
      <c r="AG29" s="6" t="n">
        <f aca="false">IF($J29="n.a.",0,$J29*$U29)</f>
        <v>0</v>
      </c>
      <c r="AH29" s="6" t="n">
        <f aca="false">IF($M29="n.a.",0,$M29*$V29)</f>
        <v>0</v>
      </c>
      <c r="AI29" s="6" t="n">
        <f aca="false">IF($P29="n.a.",0,$P29*$W29)</f>
        <v>0</v>
      </c>
      <c r="AJ29" s="6" t="n">
        <f aca="false">IF($S29="n.a.",0,$S29*$X29)</f>
        <v>0</v>
      </c>
      <c r="AK29" s="29" t="n">
        <f aca="false">MAX($Z29:$AD29)</f>
        <v>0</v>
      </c>
      <c r="AL29" s="30" t="n">
        <f aca="false">INDEX(AF29:AJ29,1,MATCH(AK29,Z29:AD29,0))</f>
        <v>0</v>
      </c>
      <c r="AM29" s="6" t="str">
        <f aca="false">IF(IF(AND($T77=1,$T29=0),0,$AL29)=0,"",$AL29)</f>
        <v/>
      </c>
    </row>
    <row r="30" customFormat="false" ht="15" hidden="false" customHeight="false" outlineLevel="0" collapsed="false">
      <c r="A30" s="31" t="s">
        <v>53</v>
      </c>
      <c r="B30" s="32" t="str">
        <f aca="false">$AM30</f>
        <v/>
      </c>
      <c r="C30" s="5" t="n">
        <v>0.008</v>
      </c>
      <c r="D30" s="5" t="n">
        <v>0.2</v>
      </c>
      <c r="F30" s="26" t="n">
        <v>0.0002</v>
      </c>
      <c r="G30" s="26" t="n">
        <v>0.0002</v>
      </c>
      <c r="I30" s="5" t="n">
        <v>0.000208488942126827</v>
      </c>
      <c r="J30" s="27" t="n">
        <v>0.00208488942126827</v>
      </c>
      <c r="L30" s="5"/>
      <c r="M30" s="5"/>
      <c r="O30" s="5"/>
      <c r="P30" s="5"/>
      <c r="R30" s="5"/>
      <c r="S30" s="5"/>
      <c r="T30" s="6" t="n">
        <f aca="false">IF(AND(F30&gt;=$C30,F30&lt;=$D30,F30&lt;&gt;0,F30&lt;&gt;"n.a."),1,0)</f>
        <v>0</v>
      </c>
      <c r="U30" s="6" t="n">
        <f aca="false">IF(AND(I30&gt;=$C30,I30&lt;=$D30,I30&lt;&gt;0,I30&lt;&gt;"n.a."),1,0)</f>
        <v>0</v>
      </c>
      <c r="V30" s="6" t="n">
        <f aca="false">IF(AND(L30&gt;=$C30,L30&lt;=$D30,L30&lt;&gt;0),1,0)</f>
        <v>0</v>
      </c>
      <c r="W30" s="6" t="n">
        <f aca="false">IF(AND(O30&gt;=$C30,O30&lt;=$D30,O30&lt;&gt;0),1,0)</f>
        <v>0</v>
      </c>
      <c r="X30" s="6" t="n">
        <f aca="false">IF(AND(R30&gt;=$C30,R30&lt;=$D30,R30&lt;&gt;0),1,0)</f>
        <v>0</v>
      </c>
      <c r="Y30" s="6" t="n">
        <f aca="false">SUM($T30:$X30)</f>
        <v>0</v>
      </c>
      <c r="Z30" s="6" t="n">
        <f aca="false">IF($F30="n.a.",0,$F30*$T30)</f>
        <v>0</v>
      </c>
      <c r="AA30" s="6" t="n">
        <f aca="false">IF($I30="n.a.",0,$I30*$U30)</f>
        <v>0</v>
      </c>
      <c r="AB30" s="6" t="n">
        <f aca="false">IF($L30="n.a.",0,$L30*$V30)</f>
        <v>0</v>
      </c>
      <c r="AC30" s="6" t="n">
        <f aca="false">IF($O30="n.a.",0,$O30*$W30)</f>
        <v>0</v>
      </c>
      <c r="AD30" s="6" t="n">
        <f aca="false">IF($R30="n.a.",0,$R30*$X30)</f>
        <v>0</v>
      </c>
      <c r="AE30" s="28"/>
      <c r="AF30" s="6" t="n">
        <f aca="false">IF($G30="n.a.",0,$G30*$T30)</f>
        <v>0</v>
      </c>
      <c r="AG30" s="6" t="n">
        <f aca="false">IF($J30="n.a.",0,$J30*$U30)</f>
        <v>0</v>
      </c>
      <c r="AH30" s="6" t="n">
        <f aca="false">IF($M30="n.a.",0,$M30*$V30)</f>
        <v>0</v>
      </c>
      <c r="AI30" s="6" t="n">
        <f aca="false">IF($P30="n.a.",0,$P30*$W30)</f>
        <v>0</v>
      </c>
      <c r="AJ30" s="6" t="n">
        <f aca="false">IF($S30="n.a.",0,$S30*$X30)</f>
        <v>0</v>
      </c>
      <c r="AK30" s="29" t="n">
        <f aca="false">MAX($Z30:$AD30)</f>
        <v>0</v>
      </c>
      <c r="AL30" s="30" t="n">
        <f aca="false">INDEX(AF30:AJ30,1,MATCH(AK30,Z30:AD30,0))</f>
        <v>0</v>
      </c>
      <c r="AM30" s="6" t="str">
        <f aca="false">IF(IF(AND($T78=1,$T30=0),0,$AL30)=0,"",$AL30)</f>
        <v/>
      </c>
    </row>
    <row r="31" customFormat="false" ht="15" hidden="false" customHeight="false" outlineLevel="0" collapsed="false">
      <c r="A31" s="31" t="s">
        <v>54</v>
      </c>
      <c r="B31" s="32" t="str">
        <f aca="false">$AM31</f>
        <v/>
      </c>
      <c r="C31" s="5" t="n">
        <v>0.008</v>
      </c>
      <c r="D31" s="5" t="n">
        <v>0.2</v>
      </c>
      <c r="F31" s="26" t="n">
        <v>0.0037</v>
      </c>
      <c r="G31" s="26" t="n">
        <v>0.0037</v>
      </c>
      <c r="I31" s="5" t="n">
        <v>0.00133028748820718</v>
      </c>
      <c r="J31" s="27" t="n">
        <v>0.0133028748820718</v>
      </c>
      <c r="L31" s="5"/>
      <c r="M31" s="5"/>
      <c r="O31" s="5"/>
      <c r="P31" s="5"/>
      <c r="R31" s="5"/>
      <c r="S31" s="5"/>
      <c r="T31" s="6" t="n">
        <f aca="false">IF(AND(F31&gt;=$C31,F31&lt;=$D31,F31&lt;&gt;0,F31&lt;&gt;"n.a."),1,0)</f>
        <v>0</v>
      </c>
      <c r="U31" s="6" t="n">
        <f aca="false">IF(AND(I31&gt;=$C31,I31&lt;=$D31,I31&lt;&gt;0,I31&lt;&gt;"n.a."),1,0)</f>
        <v>0</v>
      </c>
      <c r="V31" s="6" t="n">
        <f aca="false">IF(AND(L31&gt;=$C31,L31&lt;=$D31,L31&lt;&gt;0),1,0)</f>
        <v>0</v>
      </c>
      <c r="W31" s="6" t="n">
        <f aca="false">IF(AND(O31&gt;=$C31,O31&lt;=$D31,O31&lt;&gt;0),1,0)</f>
        <v>0</v>
      </c>
      <c r="X31" s="6" t="n">
        <f aca="false">IF(AND(R31&gt;=$C31,R31&lt;=$D31,R31&lt;&gt;0),1,0)</f>
        <v>0</v>
      </c>
      <c r="Y31" s="6" t="n">
        <f aca="false">SUM($T31:$X31)</f>
        <v>0</v>
      </c>
      <c r="Z31" s="6" t="n">
        <f aca="false">IF($F31="n.a.",0,$F31*$T31)</f>
        <v>0</v>
      </c>
      <c r="AA31" s="6" t="n">
        <f aca="false">IF($I31="n.a.",0,$I31*$U31)</f>
        <v>0</v>
      </c>
      <c r="AB31" s="6" t="n">
        <f aca="false">IF($L31="n.a.",0,$L31*$V31)</f>
        <v>0</v>
      </c>
      <c r="AC31" s="6" t="n">
        <f aca="false">IF($O31="n.a.",0,$O31*$W31)</f>
        <v>0</v>
      </c>
      <c r="AD31" s="6" t="n">
        <f aca="false">IF($R31="n.a.",0,$R31*$X31)</f>
        <v>0</v>
      </c>
      <c r="AE31" s="28"/>
      <c r="AF31" s="6" t="n">
        <f aca="false">IF($G31="n.a.",0,$G31*$T31)</f>
        <v>0</v>
      </c>
      <c r="AG31" s="6" t="n">
        <f aca="false">IF($J31="n.a.",0,$J31*$U31)</f>
        <v>0</v>
      </c>
      <c r="AH31" s="6" t="n">
        <f aca="false">IF($M31="n.a.",0,$M31*$V31)</f>
        <v>0</v>
      </c>
      <c r="AI31" s="6" t="n">
        <f aca="false">IF($P31="n.a.",0,$P31*$W31)</f>
        <v>0</v>
      </c>
      <c r="AJ31" s="6" t="n">
        <f aca="false">IF($S31="n.a.",0,$S31*$X31)</f>
        <v>0</v>
      </c>
      <c r="AK31" s="29" t="n">
        <f aca="false">MAX($Z31:$AD31)</f>
        <v>0</v>
      </c>
      <c r="AL31" s="30" t="n">
        <f aca="false">INDEX(AF31:AJ31,1,MATCH(AK31,Z31:AD31,0))</f>
        <v>0</v>
      </c>
      <c r="AM31" s="6" t="str">
        <f aca="false">IF(IF(AND($T79=1,$T31=0),0,$AL31)=0,"",$AL31)</f>
        <v/>
      </c>
    </row>
    <row r="32" customFormat="false" ht="15" hidden="false" customHeight="false" outlineLevel="0" collapsed="false">
      <c r="A32" s="31" t="s">
        <v>55</v>
      </c>
      <c r="B32" s="32" t="str">
        <f aca="false">$AM32</f>
        <v/>
      </c>
      <c r="C32" s="5" t="n">
        <v>0.008</v>
      </c>
      <c r="D32" s="5" t="n">
        <v>0.2</v>
      </c>
      <c r="F32" s="26" t="n">
        <v>0.0002</v>
      </c>
      <c r="G32" s="26" t="n">
        <v>0.0002</v>
      </c>
      <c r="I32" s="5" t="n">
        <v>4.41944254675643E-005</v>
      </c>
      <c r="J32" s="27" t="n">
        <v>0.000441944254675642</v>
      </c>
      <c r="L32" s="5"/>
      <c r="M32" s="5"/>
      <c r="O32" s="5"/>
      <c r="P32" s="5"/>
      <c r="R32" s="5"/>
      <c r="S32" s="5"/>
      <c r="T32" s="6" t="n">
        <f aca="false">IF(AND(F32&gt;=$C32,F32&lt;=$D32,F32&lt;&gt;0,F32&lt;&gt;"n.a."),1,0)</f>
        <v>0</v>
      </c>
      <c r="U32" s="6" t="n">
        <f aca="false">IF(AND(I32&gt;=$C32,I32&lt;=$D32,I32&lt;&gt;0,I32&lt;&gt;"n.a."),1,0)</f>
        <v>0</v>
      </c>
      <c r="V32" s="6" t="n">
        <f aca="false">IF(AND(L32&gt;=$C32,L32&lt;=$D32,L32&lt;&gt;0),1,0)</f>
        <v>0</v>
      </c>
      <c r="W32" s="6" t="n">
        <f aca="false">IF(AND(O32&gt;=$C32,O32&lt;=$D32,O32&lt;&gt;0),1,0)</f>
        <v>0</v>
      </c>
      <c r="X32" s="6" t="n">
        <f aca="false">IF(AND(R32&gt;=$C32,R32&lt;=$D32,R32&lt;&gt;0),1,0)</f>
        <v>0</v>
      </c>
      <c r="Y32" s="6" t="n">
        <f aca="false">SUM($T32:$X32)</f>
        <v>0</v>
      </c>
      <c r="Z32" s="6" t="n">
        <f aca="false">IF($F32="n.a.",0,$F32*$T32)</f>
        <v>0</v>
      </c>
      <c r="AA32" s="6" t="n">
        <f aca="false">IF($I32="n.a.",0,$I32*$U32)</f>
        <v>0</v>
      </c>
      <c r="AB32" s="6" t="n">
        <f aca="false">IF($L32="n.a.",0,$L32*$V32)</f>
        <v>0</v>
      </c>
      <c r="AC32" s="6" t="n">
        <f aca="false">IF($O32="n.a.",0,$O32*$W32)</f>
        <v>0</v>
      </c>
      <c r="AD32" s="6" t="n">
        <f aca="false">IF($R32="n.a.",0,$R32*$X32)</f>
        <v>0</v>
      </c>
      <c r="AE32" s="28"/>
      <c r="AF32" s="6" t="n">
        <f aca="false">IF($G32="n.a.",0,$G32*$T32)</f>
        <v>0</v>
      </c>
      <c r="AG32" s="6" t="n">
        <f aca="false">IF($J32="n.a.",0,$J32*$U32)</f>
        <v>0</v>
      </c>
      <c r="AH32" s="6" t="n">
        <f aca="false">IF($M32="n.a.",0,$M32*$V32)</f>
        <v>0</v>
      </c>
      <c r="AI32" s="6" t="n">
        <f aca="false">IF($P32="n.a.",0,$P32*$W32)</f>
        <v>0</v>
      </c>
      <c r="AJ32" s="6" t="n">
        <f aca="false">IF($S32="n.a.",0,$S32*$X32)</f>
        <v>0</v>
      </c>
      <c r="AK32" s="29" t="n">
        <f aca="false">MAX($Z32:$AD32)</f>
        <v>0</v>
      </c>
      <c r="AL32" s="30" t="n">
        <f aca="false">INDEX(AF32:AJ32,1,MATCH(AK32,Z32:AD32,0))</f>
        <v>0</v>
      </c>
      <c r="AM32" s="6" t="str">
        <f aca="false">IF(IF(AND($T80=1,$T32=0),0,$AL32)=0,"",$AL32)</f>
        <v/>
      </c>
    </row>
    <row r="33" customFormat="false" ht="15" hidden="false" customHeight="false" outlineLevel="0" collapsed="false">
      <c r="A33" s="31" t="s">
        <v>56</v>
      </c>
      <c r="B33" s="32" t="str">
        <f aca="false">$AM33</f>
        <v/>
      </c>
      <c r="C33" s="5" t="n">
        <v>0.008</v>
      </c>
      <c r="D33" s="5" t="n">
        <v>0.2</v>
      </c>
      <c r="F33" s="26" t="n">
        <v>0.5267</v>
      </c>
      <c r="G33" s="26" t="n">
        <v>0.5267</v>
      </c>
      <c r="I33" s="5" t="n">
        <v>0.0495705230857665</v>
      </c>
      <c r="J33" s="27" t="n">
        <v>0.495705230857665</v>
      </c>
      <c r="L33" s="5"/>
      <c r="M33" s="5"/>
      <c r="O33" s="5"/>
      <c r="P33" s="5"/>
      <c r="R33" s="5"/>
      <c r="S33" s="5"/>
      <c r="T33" s="6" t="n">
        <f aca="false">IF(AND(F33&gt;=$C33,F33&lt;=$D33,F33&lt;&gt;0,F33&lt;&gt;"n.a."),1,0)</f>
        <v>0</v>
      </c>
      <c r="U33" s="6" t="n">
        <f aca="false">IF(AND(I33&gt;=$C33,I33&lt;=$D33,I33&lt;&gt;0,I33&lt;&gt;"n.a."),1,0)</f>
        <v>1</v>
      </c>
      <c r="V33" s="6" t="n">
        <f aca="false">IF(AND(L33&gt;=$C33,L33&lt;=$D33,L33&lt;&gt;0),1,0)</f>
        <v>0</v>
      </c>
      <c r="W33" s="6" t="n">
        <f aca="false">IF(AND(O33&gt;=$C33,O33&lt;=$D33,O33&lt;&gt;0),1,0)</f>
        <v>0</v>
      </c>
      <c r="X33" s="6" t="n">
        <f aca="false">IF(AND(R33&gt;=$C33,R33&lt;=$D33,R33&lt;&gt;0),1,0)</f>
        <v>0</v>
      </c>
      <c r="Y33" s="6" t="n">
        <f aca="false">SUM($T33:$X33)</f>
        <v>1</v>
      </c>
      <c r="Z33" s="6" t="n">
        <f aca="false">IF($F33="n.a.",0,$F33*$T33)</f>
        <v>0</v>
      </c>
      <c r="AA33" s="6" t="n">
        <f aca="false">IF($I33="n.a.",0,$I33*$U33)</f>
        <v>0.0495705230857665</v>
      </c>
      <c r="AB33" s="6" t="n">
        <f aca="false">IF($L33="n.a.",0,$L33*$V33)</f>
        <v>0</v>
      </c>
      <c r="AC33" s="6" t="n">
        <f aca="false">IF($O33="n.a.",0,$O33*$W33)</f>
        <v>0</v>
      </c>
      <c r="AD33" s="6" t="n">
        <f aca="false">IF($R33="n.a.",0,$R33*$X33)</f>
        <v>0</v>
      </c>
      <c r="AE33" s="28"/>
      <c r="AF33" s="6" t="n">
        <f aca="false">IF($G33="n.a.",0,$G33*$T33)</f>
        <v>0</v>
      </c>
      <c r="AG33" s="6" t="n">
        <f aca="false">IF($J33="n.a.",0,$J33*$U33)</f>
        <v>0.495705230857665</v>
      </c>
      <c r="AH33" s="6" t="n">
        <f aca="false">IF($M33="n.a.",0,$M33*$V33)</f>
        <v>0</v>
      </c>
      <c r="AI33" s="6" t="n">
        <f aca="false">IF($P33="n.a.",0,$P33*$W33)</f>
        <v>0</v>
      </c>
      <c r="AJ33" s="6" t="n">
        <f aca="false">IF($S33="n.a.",0,$S33*$X33)</f>
        <v>0</v>
      </c>
      <c r="AK33" s="29" t="n">
        <f aca="false">MAX($Z33:$AD33)</f>
        <v>0.0495705230857665</v>
      </c>
      <c r="AL33" s="30" t="n">
        <f aca="false">INDEX(AF33:AJ33,1,MATCH(AK33,Z33:AD33,0))</f>
        <v>0.495705230857665</v>
      </c>
      <c r="AM33" s="6" t="str">
        <f aca="false">IF(IF(AND($T81=1,$T33=0),0,$AL33)=0,"",$AL33)</f>
        <v/>
      </c>
    </row>
    <row r="34" customFormat="false" ht="15" hidden="false" customHeight="false" outlineLevel="0" collapsed="false">
      <c r="A34" s="31" t="s">
        <v>57</v>
      </c>
      <c r="B34" s="32" t="str">
        <f aca="false">$AM34</f>
        <v/>
      </c>
      <c r="C34" s="5" t="n">
        <v>0.0008</v>
      </c>
      <c r="D34" s="5" t="n">
        <v>0.2</v>
      </c>
      <c r="F34" s="26" t="n">
        <v>0.0001</v>
      </c>
      <c r="G34" s="26" t="n">
        <v>0.0001</v>
      </c>
      <c r="I34" s="5" t="n">
        <v>7.6716134063127E-005</v>
      </c>
      <c r="J34" s="27" t="n">
        <v>0.00076716134063127</v>
      </c>
      <c r="L34" s="5"/>
      <c r="M34" s="5"/>
      <c r="O34" s="5"/>
      <c r="P34" s="5"/>
      <c r="R34" s="5"/>
      <c r="S34" s="5"/>
      <c r="T34" s="6" t="n">
        <f aca="false">IF(AND(F34&gt;=$C34,F34&lt;=$D34,F34&lt;&gt;0,F34&lt;&gt;"n.a."),1,0)</f>
        <v>0</v>
      </c>
      <c r="U34" s="6" t="n">
        <f aca="false">IF(AND(I34&gt;=$C34,I34&lt;=$D34,I34&lt;&gt;0,I34&lt;&gt;"n.a."),1,0)</f>
        <v>0</v>
      </c>
      <c r="V34" s="6" t="n">
        <f aca="false">IF(AND(L34&gt;=$C34,L34&lt;=$D34,L34&lt;&gt;0),1,0)</f>
        <v>0</v>
      </c>
      <c r="W34" s="6" t="n">
        <f aca="false">IF(AND(O34&gt;=$C34,O34&lt;=$D34,O34&lt;&gt;0),1,0)</f>
        <v>0</v>
      </c>
      <c r="X34" s="6" t="n">
        <f aca="false">IF(AND(R34&gt;=$C34,R34&lt;=$D34,R34&lt;&gt;0),1,0)</f>
        <v>0</v>
      </c>
      <c r="Y34" s="6" t="n">
        <f aca="false">SUM($T34:$X34)</f>
        <v>0</v>
      </c>
      <c r="Z34" s="6" t="n">
        <f aca="false">IF($F34="n.a.",0,$F34*$T34)</f>
        <v>0</v>
      </c>
      <c r="AA34" s="6" t="n">
        <f aca="false">IF($I34="n.a.",0,$I34*$U34)</f>
        <v>0</v>
      </c>
      <c r="AB34" s="6" t="n">
        <f aca="false">IF($L34="n.a.",0,$L34*$V34)</f>
        <v>0</v>
      </c>
      <c r="AC34" s="6" t="n">
        <f aca="false">IF($O34="n.a.",0,$O34*$W34)</f>
        <v>0</v>
      </c>
      <c r="AD34" s="6" t="n">
        <f aca="false">IF($R34="n.a.",0,$R34*$X34)</f>
        <v>0</v>
      </c>
      <c r="AE34" s="28"/>
      <c r="AF34" s="6" t="n">
        <f aca="false">IF($G34="n.a.",0,$G34*$T34)</f>
        <v>0</v>
      </c>
      <c r="AG34" s="6" t="n">
        <f aca="false">IF($J34="n.a.",0,$J34*$U34)</f>
        <v>0</v>
      </c>
      <c r="AH34" s="6" t="n">
        <f aca="false">IF($M34="n.a.",0,$M34*$V34)</f>
        <v>0</v>
      </c>
      <c r="AI34" s="6" t="n">
        <f aca="false">IF($P34="n.a.",0,$P34*$W34)</f>
        <v>0</v>
      </c>
      <c r="AJ34" s="6" t="n">
        <f aca="false">IF($S34="n.a.",0,$S34*$X34)</f>
        <v>0</v>
      </c>
      <c r="AK34" s="29" t="n">
        <f aca="false">MAX($Z34:$AD34)</f>
        <v>0</v>
      </c>
      <c r="AL34" s="30" t="n">
        <f aca="false">INDEX(AF34:AJ34,1,MATCH(AK34,Z34:AD34,0))</f>
        <v>0</v>
      </c>
      <c r="AM34" s="6" t="str">
        <f aca="false">IF(IF(AND($T82=1,$T34=0),0,$AL34)=0,"",$AL34)</f>
        <v/>
      </c>
    </row>
    <row r="35" customFormat="false" ht="15" hidden="false" customHeight="false" outlineLevel="0" collapsed="false">
      <c r="A35" s="31" t="s">
        <v>58</v>
      </c>
      <c r="B35" s="32" t="str">
        <f aca="false">$AM35</f>
        <v/>
      </c>
      <c r="C35" s="5" t="n">
        <v>0.008</v>
      </c>
      <c r="D35" s="5" t="n">
        <v>0.2</v>
      </c>
      <c r="F35" s="26" t="n">
        <v>0.0003</v>
      </c>
      <c r="G35" s="26" t="n">
        <v>0.0003</v>
      </c>
      <c r="I35" s="5" t="n">
        <v>0.000217111080397542</v>
      </c>
      <c r="J35" s="27" t="n">
        <v>0.00217111080397542</v>
      </c>
      <c r="L35" s="5"/>
      <c r="M35" s="5"/>
      <c r="O35" s="5"/>
      <c r="P35" s="5"/>
      <c r="R35" s="5"/>
      <c r="S35" s="5"/>
      <c r="T35" s="6" t="n">
        <f aca="false">IF(AND(F35&gt;=$C35,F35&lt;=$D35,F35&lt;&gt;0,F35&lt;&gt;"n.a."),1,0)</f>
        <v>0</v>
      </c>
      <c r="U35" s="6" t="n">
        <f aca="false">IF(AND(I35&gt;=$C35,I35&lt;=$D35,I35&lt;&gt;0,I35&lt;&gt;"n.a."),1,0)</f>
        <v>0</v>
      </c>
      <c r="V35" s="6" t="n">
        <f aca="false">IF(AND(L35&gt;=$C35,L35&lt;=$D35,L35&lt;&gt;0),1,0)</f>
        <v>0</v>
      </c>
      <c r="W35" s="6" t="n">
        <f aca="false">IF(AND(O35&gt;=$C35,O35&lt;=$D35,O35&lt;&gt;0),1,0)</f>
        <v>0</v>
      </c>
      <c r="X35" s="6" t="n">
        <f aca="false">IF(AND(R35&gt;=$C35,R35&lt;=$D35,R35&lt;&gt;0),1,0)</f>
        <v>0</v>
      </c>
      <c r="Y35" s="6" t="n">
        <f aca="false">SUM($T35:$X35)</f>
        <v>0</v>
      </c>
      <c r="Z35" s="6" t="n">
        <f aca="false">IF($F35="n.a.",0,$F35*$T35)</f>
        <v>0</v>
      </c>
      <c r="AA35" s="6" t="n">
        <f aca="false">IF($I35="n.a.",0,$I35*$U35)</f>
        <v>0</v>
      </c>
      <c r="AB35" s="6" t="n">
        <f aca="false">IF($L35="n.a.",0,$L35*$V35)</f>
        <v>0</v>
      </c>
      <c r="AC35" s="6" t="n">
        <f aca="false">IF($O35="n.a.",0,$O35*$W35)</f>
        <v>0</v>
      </c>
      <c r="AD35" s="6" t="n">
        <f aca="false">IF($R35="n.a.",0,$R35*$X35)</f>
        <v>0</v>
      </c>
      <c r="AE35" s="28"/>
      <c r="AF35" s="6" t="n">
        <f aca="false">IF($G35="n.a.",0,$G35*$T35)</f>
        <v>0</v>
      </c>
      <c r="AG35" s="6" t="n">
        <f aca="false">IF($J35="n.a.",0,$J35*$U35)</f>
        <v>0</v>
      </c>
      <c r="AH35" s="6" t="n">
        <f aca="false">IF($M35="n.a.",0,$M35*$V35)</f>
        <v>0</v>
      </c>
      <c r="AI35" s="6" t="n">
        <f aca="false">IF($P35="n.a.",0,$P35*$W35)</f>
        <v>0</v>
      </c>
      <c r="AJ35" s="6" t="n">
        <f aca="false">IF($S35="n.a.",0,$S35*$X35)</f>
        <v>0</v>
      </c>
      <c r="AK35" s="29" t="n">
        <f aca="false">MAX($Z35:$AD35)</f>
        <v>0</v>
      </c>
      <c r="AL35" s="30" t="n">
        <f aca="false">INDEX(AF35:AJ35,1,MATCH(AK35,Z35:AD35,0))</f>
        <v>0</v>
      </c>
      <c r="AM35" s="6" t="str">
        <f aca="false">IF(IF(AND($T83=1,$T35=0),0,$AL35)=0,"",$AL35)</f>
        <v/>
      </c>
    </row>
    <row r="36" customFormat="false" ht="15" hidden="false" customHeight="false" outlineLevel="0" collapsed="false">
      <c r="A36" s="31" t="s">
        <v>59</v>
      </c>
      <c r="B36" s="32" t="str">
        <f aca="false">$AM36</f>
        <v/>
      </c>
      <c r="C36" s="5" t="n">
        <v>0.008</v>
      </c>
      <c r="D36" s="5" t="n">
        <v>0.2</v>
      </c>
      <c r="F36" s="26" t="n">
        <v>0.0009</v>
      </c>
      <c r="G36" s="26" t="n">
        <v>0.0009</v>
      </c>
      <c r="I36" s="5" t="n">
        <v>0.00384422982045052</v>
      </c>
      <c r="J36" s="27" t="n">
        <v>0.0384422982045052</v>
      </c>
      <c r="L36" s="5"/>
      <c r="M36" s="5"/>
      <c r="O36" s="5"/>
      <c r="P36" s="5"/>
      <c r="R36" s="5"/>
      <c r="S36" s="5"/>
      <c r="T36" s="6" t="n">
        <f aca="false">IF(AND(F36&gt;=$C36,F36&lt;=$D36,F36&lt;&gt;0,F36&lt;&gt;"n.a."),1,0)</f>
        <v>0</v>
      </c>
      <c r="U36" s="6" t="n">
        <f aca="false">IF(AND(I36&gt;=$C36,I36&lt;=$D36,I36&lt;&gt;0,I36&lt;&gt;"n.a."),1,0)</f>
        <v>0</v>
      </c>
      <c r="V36" s="6" t="n">
        <f aca="false">IF(AND(L36&gt;=$C36,L36&lt;=$D36,L36&lt;&gt;0),1,0)</f>
        <v>0</v>
      </c>
      <c r="W36" s="6" t="n">
        <f aca="false">IF(AND(O36&gt;=$C36,O36&lt;=$D36,O36&lt;&gt;0),1,0)</f>
        <v>0</v>
      </c>
      <c r="X36" s="6" t="n">
        <f aca="false">IF(AND(R36&gt;=$C36,R36&lt;=$D36,R36&lt;&gt;0),1,0)</f>
        <v>0</v>
      </c>
      <c r="Y36" s="6" t="n">
        <f aca="false">SUM($T36:$X36)</f>
        <v>0</v>
      </c>
      <c r="Z36" s="6" t="n">
        <f aca="false">IF($F36="n.a.",0,$F36*$T36)</f>
        <v>0</v>
      </c>
      <c r="AA36" s="6" t="n">
        <f aca="false">IF($I36="n.a.",0,$I36*$U36)</f>
        <v>0</v>
      </c>
      <c r="AB36" s="6" t="n">
        <f aca="false">IF($L36="n.a.",0,$L36*$V36)</f>
        <v>0</v>
      </c>
      <c r="AC36" s="6" t="n">
        <f aca="false">IF($O36="n.a.",0,$O36*$W36)</f>
        <v>0</v>
      </c>
      <c r="AD36" s="6" t="n">
        <f aca="false">IF($R36="n.a.",0,$R36*$X36)</f>
        <v>0</v>
      </c>
      <c r="AE36" s="28"/>
      <c r="AF36" s="6" t="n">
        <f aca="false">IF($G36="n.a.",0,$G36*$T36)</f>
        <v>0</v>
      </c>
      <c r="AG36" s="6" t="n">
        <f aca="false">IF($J36="n.a.",0,$J36*$U36)</f>
        <v>0</v>
      </c>
      <c r="AH36" s="6" t="n">
        <f aca="false">IF($M36="n.a.",0,$M36*$V36)</f>
        <v>0</v>
      </c>
      <c r="AI36" s="6" t="n">
        <f aca="false">IF($P36="n.a.",0,$P36*$W36)</f>
        <v>0</v>
      </c>
      <c r="AJ36" s="6" t="n">
        <f aca="false">IF($S36="n.a.",0,$S36*$X36)</f>
        <v>0</v>
      </c>
      <c r="AK36" s="29" t="n">
        <f aca="false">MAX($Z36:$AD36)</f>
        <v>0</v>
      </c>
      <c r="AL36" s="30" t="n">
        <f aca="false">INDEX(AF36:AJ36,1,MATCH(AK36,Z36:AD36,0))</f>
        <v>0</v>
      </c>
      <c r="AM36" s="6" t="str">
        <f aca="false">IF(IF(AND($T84=1,$T36=0),0,$AL36)=0,"",$AL36)</f>
        <v/>
      </c>
    </row>
    <row r="37" customFormat="false" ht="15" hidden="false" customHeight="false" outlineLevel="0" collapsed="false">
      <c r="A37" s="31" t="s">
        <v>60</v>
      </c>
      <c r="B37" s="32" t="str">
        <f aca="false">$AM37</f>
        <v/>
      </c>
      <c r="C37" s="5" t="n">
        <v>0.016</v>
      </c>
      <c r="D37" s="5" t="n">
        <v>0.4</v>
      </c>
      <c r="F37" s="26" t="n">
        <v>0.0024</v>
      </c>
      <c r="G37" s="26" t="n">
        <v>0.0024</v>
      </c>
      <c r="I37" s="5" t="n">
        <v>0.0140921145919007</v>
      </c>
      <c r="J37" s="27" t="n">
        <v>0.140921145919007</v>
      </c>
      <c r="L37" s="5"/>
      <c r="M37" s="5"/>
      <c r="O37" s="5"/>
      <c r="P37" s="5"/>
      <c r="R37" s="5"/>
      <c r="S37" s="5"/>
      <c r="T37" s="6" t="n">
        <f aca="false">IF(AND(F37&gt;=$C37,F37&lt;=$D37,F37&lt;&gt;0,F37&lt;&gt;"n.a."),1,0)</f>
        <v>0</v>
      </c>
      <c r="U37" s="6" t="n">
        <f aca="false">IF(AND(I37&gt;=$C37,I37&lt;=$D37,I37&lt;&gt;0,I37&lt;&gt;"n.a."),1,0)</f>
        <v>0</v>
      </c>
      <c r="V37" s="6" t="n">
        <f aca="false">IF(AND(L37&gt;=$C37,L37&lt;=$D37,L37&lt;&gt;0),1,0)</f>
        <v>0</v>
      </c>
      <c r="W37" s="6" t="n">
        <f aca="false">IF(AND(O37&gt;=$C37,O37&lt;=$D37,O37&lt;&gt;0),1,0)</f>
        <v>0</v>
      </c>
      <c r="X37" s="6" t="n">
        <f aca="false">IF(AND(R37&gt;=$C37,R37&lt;=$D37,R37&lt;&gt;0),1,0)</f>
        <v>0</v>
      </c>
      <c r="Y37" s="6" t="n">
        <f aca="false">SUM($T37:$X37)</f>
        <v>0</v>
      </c>
      <c r="Z37" s="6" t="n">
        <f aca="false">IF($F37="n.a.",0,$F37*$T37)</f>
        <v>0</v>
      </c>
      <c r="AA37" s="6" t="n">
        <f aca="false">IF($I37="n.a.",0,$I37*$U37)</f>
        <v>0</v>
      </c>
      <c r="AB37" s="6" t="n">
        <f aca="false">IF($L37="n.a.",0,$L37*$V37)</f>
        <v>0</v>
      </c>
      <c r="AC37" s="6" t="n">
        <f aca="false">IF($O37="n.a.",0,$O37*$W37)</f>
        <v>0</v>
      </c>
      <c r="AD37" s="6" t="n">
        <f aca="false">IF($R37="n.a.",0,$R37*$X37)</f>
        <v>0</v>
      </c>
      <c r="AE37" s="28"/>
      <c r="AF37" s="6" t="n">
        <f aca="false">IF($G37="n.a.",0,$G37*$T37)</f>
        <v>0</v>
      </c>
      <c r="AG37" s="6" t="n">
        <f aca="false">IF($J37="n.a.",0,$J37*$U37)</f>
        <v>0</v>
      </c>
      <c r="AH37" s="6" t="n">
        <f aca="false">IF($M37="n.a.",0,$M37*$V37)</f>
        <v>0</v>
      </c>
      <c r="AI37" s="6" t="n">
        <f aca="false">IF($P37="n.a.",0,$P37*$W37)</f>
        <v>0</v>
      </c>
      <c r="AJ37" s="6" t="n">
        <f aca="false">IF($S37="n.a.",0,$S37*$X37)</f>
        <v>0</v>
      </c>
      <c r="AK37" s="29" t="n">
        <f aca="false">MAX($Z37:$AD37)</f>
        <v>0</v>
      </c>
      <c r="AL37" s="30" t="n">
        <f aca="false">INDEX(AF37:AJ37,1,MATCH(AK37,Z37:AD37,0))</f>
        <v>0</v>
      </c>
      <c r="AM37" s="6" t="str">
        <f aca="false">IF(IF(AND($T85=1,$T37=0),0,$AL37)=0,"",$AL37)</f>
        <v/>
      </c>
    </row>
    <row r="38" customFormat="false" ht="15" hidden="false" customHeight="false" outlineLevel="0" collapsed="false">
      <c r="A38" s="31" t="s">
        <v>61</v>
      </c>
      <c r="B38" s="32" t="str">
        <f aca="false">$AM38</f>
        <v/>
      </c>
      <c r="C38" s="5"/>
      <c r="D38" s="5"/>
      <c r="F38" s="26" t="s">
        <v>32</v>
      </c>
      <c r="G38" s="26" t="s">
        <v>32</v>
      </c>
      <c r="I38" s="5"/>
      <c r="J38" s="27"/>
      <c r="L38" s="5"/>
      <c r="M38" s="5"/>
      <c r="O38" s="5"/>
      <c r="P38" s="5"/>
      <c r="R38" s="5"/>
      <c r="S38" s="5"/>
      <c r="T38" s="6" t="n">
        <f aca="false">IF(AND(F38&gt;=$C38,F38&lt;=$D38,F38&lt;&gt;0,F38&lt;&gt;"n.a."),1,0)</f>
        <v>0</v>
      </c>
      <c r="U38" s="6" t="n">
        <f aca="false">IF(AND(I38&gt;=$C38,I38&lt;=$D38,I38&lt;&gt;0,I38&lt;&gt;"n.a."),1,0)</f>
        <v>0</v>
      </c>
      <c r="V38" s="6" t="n">
        <f aca="false">IF(AND(L38&gt;=$C38,L38&lt;=$D38,L38&lt;&gt;0),1,0)</f>
        <v>0</v>
      </c>
      <c r="W38" s="6" t="n">
        <f aca="false">IF(AND(O38&gt;=$C38,O38&lt;=$D38,O38&lt;&gt;0),1,0)</f>
        <v>0</v>
      </c>
      <c r="X38" s="6" t="n">
        <f aca="false">IF(AND(R38&gt;=$C38,R38&lt;=$D38,R38&lt;&gt;0),1,0)</f>
        <v>0</v>
      </c>
      <c r="Y38" s="6" t="n">
        <f aca="false">SUM($T38:$X38)</f>
        <v>0</v>
      </c>
      <c r="Z38" s="6" t="n">
        <f aca="false">IF($F38="n.a.",0,$F38*$T38)</f>
        <v>0</v>
      </c>
      <c r="AA38" s="6" t="n">
        <f aca="false">IF($I38="n.a.",0,$I38*$U38)</f>
        <v>0</v>
      </c>
      <c r="AB38" s="6" t="n">
        <f aca="false">IF($L38="n.a.",0,$L38*$V38)</f>
        <v>0</v>
      </c>
      <c r="AC38" s="6" t="n">
        <f aca="false">IF($O38="n.a.",0,$O38*$W38)</f>
        <v>0</v>
      </c>
      <c r="AD38" s="6" t="n">
        <f aca="false">IF($R38="n.a.",0,$R38*$X38)</f>
        <v>0</v>
      </c>
      <c r="AE38" s="28"/>
      <c r="AF38" s="6" t="n">
        <f aca="false">IF($G38="n.a.",0,$G38*$T38)</f>
        <v>0</v>
      </c>
      <c r="AG38" s="6" t="n">
        <f aca="false">IF($J38="n.a.",0,$J38*$U38)</f>
        <v>0</v>
      </c>
      <c r="AH38" s="6" t="n">
        <f aca="false">IF($M38="n.a.",0,$M38*$V38)</f>
        <v>0</v>
      </c>
      <c r="AI38" s="6" t="n">
        <f aca="false">IF($P38="n.a.",0,$P38*$W38)</f>
        <v>0</v>
      </c>
      <c r="AJ38" s="6" t="n">
        <f aca="false">IF($S38="n.a.",0,$S38*$X38)</f>
        <v>0</v>
      </c>
      <c r="AK38" s="29" t="n">
        <f aca="false">MAX($Z38:$AD38)</f>
        <v>0</v>
      </c>
      <c r="AL38" s="30" t="n">
        <f aca="false">INDEX(AF38:AJ38,1,MATCH(AK38,Z38:AD38,0))</f>
        <v>0</v>
      </c>
      <c r="AM38" s="6" t="str">
        <f aca="false">IF(IF(AND($T86=1,$T38=0),0,$AL38)=0,"",$AL38)</f>
        <v/>
      </c>
    </row>
    <row r="39" customFormat="false" ht="15" hidden="false" customHeight="false" outlineLevel="0" collapsed="false">
      <c r="A39" s="31" t="s">
        <v>62</v>
      </c>
      <c r="B39" s="32" t="str">
        <f aca="false">$AM39</f>
        <v/>
      </c>
      <c r="C39" s="5" t="n">
        <v>0.008</v>
      </c>
      <c r="D39" s="5" t="n">
        <v>0.2</v>
      </c>
      <c r="F39" s="26" t="n">
        <v>0.0018</v>
      </c>
      <c r="G39" s="26" t="n">
        <v>0.0018</v>
      </c>
      <c r="I39" s="5" t="n">
        <v>0.00353426205752387</v>
      </c>
      <c r="J39" s="27" t="n">
        <v>0.0353426205752387</v>
      </c>
      <c r="L39" s="5"/>
      <c r="M39" s="5"/>
      <c r="O39" s="5"/>
      <c r="P39" s="5"/>
      <c r="R39" s="5"/>
      <c r="S39" s="5"/>
      <c r="T39" s="6" t="n">
        <f aca="false">IF(AND(F39&gt;=$C39,F39&lt;=$D39,F39&lt;&gt;0,F39&lt;&gt;"n.a."),1,0)</f>
        <v>0</v>
      </c>
      <c r="U39" s="6" t="n">
        <f aca="false">IF(AND(I39&gt;=$C39,I39&lt;=$D39,I39&lt;&gt;0,I39&lt;&gt;"n.a."),1,0)</f>
        <v>0</v>
      </c>
      <c r="V39" s="6" t="n">
        <f aca="false">IF(AND(L39&gt;=$C39,L39&lt;=$D39,L39&lt;&gt;0),1,0)</f>
        <v>0</v>
      </c>
      <c r="W39" s="6" t="n">
        <f aca="false">IF(AND(O39&gt;=$C39,O39&lt;=$D39,O39&lt;&gt;0),1,0)</f>
        <v>0</v>
      </c>
      <c r="X39" s="6" t="n">
        <f aca="false">IF(AND(R39&gt;=$C39,R39&lt;=$D39,R39&lt;&gt;0),1,0)</f>
        <v>0</v>
      </c>
      <c r="Y39" s="6" t="n">
        <f aca="false">SUM($T39:$X39)</f>
        <v>0</v>
      </c>
      <c r="Z39" s="6" t="n">
        <f aca="false">IF($F39="n.a.",0,$F39*$T39)</f>
        <v>0</v>
      </c>
      <c r="AA39" s="6" t="n">
        <f aca="false">IF($I39="n.a.",0,$I39*$U39)</f>
        <v>0</v>
      </c>
      <c r="AB39" s="6" t="n">
        <f aca="false">IF($L39="n.a.",0,$L39*$V39)</f>
        <v>0</v>
      </c>
      <c r="AC39" s="6" t="n">
        <f aca="false">IF($O39="n.a.",0,$O39*$W39)</f>
        <v>0</v>
      </c>
      <c r="AD39" s="6" t="n">
        <f aca="false">IF($R39="n.a.",0,$R39*$X39)</f>
        <v>0</v>
      </c>
      <c r="AE39" s="28"/>
      <c r="AF39" s="6" t="n">
        <f aca="false">IF($G39="n.a.",0,$G39*$T39)</f>
        <v>0</v>
      </c>
      <c r="AG39" s="6" t="n">
        <f aca="false">IF($J39="n.a.",0,$J39*$U39)</f>
        <v>0</v>
      </c>
      <c r="AH39" s="6" t="n">
        <f aca="false">IF($M39="n.a.",0,$M39*$V39)</f>
        <v>0</v>
      </c>
      <c r="AI39" s="6" t="n">
        <f aca="false">IF($P39="n.a.",0,$P39*$W39)</f>
        <v>0</v>
      </c>
      <c r="AJ39" s="6" t="n">
        <f aca="false">IF($S39="n.a.",0,$S39*$X39)</f>
        <v>0</v>
      </c>
      <c r="AK39" s="29" t="n">
        <f aca="false">MAX($Z39:$AD39)</f>
        <v>0</v>
      </c>
      <c r="AL39" s="30" t="n">
        <f aca="false">INDEX(AF39:AJ39,1,MATCH(AK39,Z39:AD39,0))</f>
        <v>0</v>
      </c>
      <c r="AM39" s="6" t="str">
        <f aca="false">IF(IF(AND($T87=1,$T39=0),0,$AL39)=0,"",$AL39)</f>
        <v/>
      </c>
    </row>
    <row r="40" customFormat="false" ht="15" hidden="false" customHeight="false" outlineLevel="0" collapsed="false">
      <c r="A40" s="31" t="s">
        <v>63</v>
      </c>
      <c r="B40" s="32" t="str">
        <f aca="false">$AM40</f>
        <v/>
      </c>
      <c r="C40" s="5" t="n">
        <v>0.008</v>
      </c>
      <c r="D40" s="5" t="n">
        <v>0.2</v>
      </c>
      <c r="F40" s="26" t="n">
        <v>0.0034</v>
      </c>
      <c r="G40" s="26" t="n">
        <v>0.0034</v>
      </c>
      <c r="I40" s="5" t="n">
        <v>0.00244397899857416</v>
      </c>
      <c r="J40" s="27" t="n">
        <v>0.0244397899857416</v>
      </c>
      <c r="L40" s="5"/>
      <c r="M40" s="5"/>
      <c r="O40" s="5"/>
      <c r="P40" s="5"/>
      <c r="R40" s="5"/>
      <c r="S40" s="5"/>
      <c r="T40" s="6" t="n">
        <f aca="false">IF(AND(F40&gt;=$C40,F40&lt;=$D40,F40&lt;&gt;0,F40&lt;&gt;"n.a."),1,0)</f>
        <v>0</v>
      </c>
      <c r="U40" s="6" t="n">
        <f aca="false">IF(AND(I40&gt;=$C40,I40&lt;=$D40,I40&lt;&gt;0,I40&lt;&gt;"n.a."),1,0)</f>
        <v>0</v>
      </c>
      <c r="V40" s="6" t="n">
        <f aca="false">IF(AND(L40&gt;=$C40,L40&lt;=$D40,L40&lt;&gt;0),1,0)</f>
        <v>0</v>
      </c>
      <c r="W40" s="6" t="n">
        <f aca="false">IF(AND(O40&gt;=$C40,O40&lt;=$D40,O40&lt;&gt;0),1,0)</f>
        <v>0</v>
      </c>
      <c r="X40" s="6" t="n">
        <f aca="false">IF(AND(R40&gt;=$C40,R40&lt;=$D40,R40&lt;&gt;0),1,0)</f>
        <v>0</v>
      </c>
      <c r="Y40" s="6" t="n">
        <f aca="false">SUM($T40:$X40)</f>
        <v>0</v>
      </c>
      <c r="Z40" s="6" t="n">
        <f aca="false">IF($F40="n.a.",0,$F40*$T40)</f>
        <v>0</v>
      </c>
      <c r="AA40" s="6" t="n">
        <f aca="false">IF($I40="n.a.",0,$I40*$U40)</f>
        <v>0</v>
      </c>
      <c r="AB40" s="6" t="n">
        <f aca="false">IF($L40="n.a.",0,$L40*$V40)</f>
        <v>0</v>
      </c>
      <c r="AC40" s="6" t="n">
        <f aca="false">IF($O40="n.a.",0,$O40*$W40)</f>
        <v>0</v>
      </c>
      <c r="AD40" s="6" t="n">
        <f aca="false">IF($R40="n.a.",0,$R40*$X40)</f>
        <v>0</v>
      </c>
      <c r="AE40" s="28"/>
      <c r="AF40" s="6" t="n">
        <f aca="false">IF($G40="n.a.",0,$G40*$T40)</f>
        <v>0</v>
      </c>
      <c r="AG40" s="6" t="n">
        <f aca="false">IF($J40="n.a.",0,$J40*$U40)</f>
        <v>0</v>
      </c>
      <c r="AH40" s="6" t="n">
        <f aca="false">IF($M40="n.a.",0,$M40*$V40)</f>
        <v>0</v>
      </c>
      <c r="AI40" s="6" t="n">
        <f aca="false">IF($P40="n.a.",0,$P40*$W40)</f>
        <v>0</v>
      </c>
      <c r="AJ40" s="6" t="n">
        <f aca="false">IF($S40="n.a.",0,$S40*$X40)</f>
        <v>0</v>
      </c>
      <c r="AK40" s="29" t="n">
        <f aca="false">MAX($Z40:$AD40)</f>
        <v>0</v>
      </c>
      <c r="AL40" s="30" t="n">
        <f aca="false">INDEX(AF40:AJ40,1,MATCH(AK40,Z40:AD40,0))</f>
        <v>0</v>
      </c>
      <c r="AM40" s="6" t="str">
        <f aca="false">IF(IF(AND($T88=1,$T40=0),0,$AL40)=0,"",$AL40)</f>
        <v/>
      </c>
    </row>
    <row r="41" customFormat="false" ht="15" hidden="false" customHeight="false" outlineLevel="0" collapsed="false">
      <c r="A41" s="31" t="s">
        <v>64</v>
      </c>
      <c r="B41" s="32" t="n">
        <f aca="false">$AM41</f>
        <v>0.0149</v>
      </c>
      <c r="C41" s="5" t="n">
        <v>0.008</v>
      </c>
      <c r="D41" s="5" t="n">
        <v>0.2</v>
      </c>
      <c r="F41" s="26" t="n">
        <v>0.0149</v>
      </c>
      <c r="G41" s="26" t="n">
        <v>0.0149</v>
      </c>
      <c r="I41" s="5" t="n">
        <v>0.00177141729922004</v>
      </c>
      <c r="J41" s="27" t="n">
        <v>0.0177141729922004</v>
      </c>
      <c r="L41" s="5"/>
      <c r="M41" s="5"/>
      <c r="O41" s="5"/>
      <c r="P41" s="5"/>
      <c r="R41" s="5"/>
      <c r="S41" s="5"/>
      <c r="T41" s="6" t="n">
        <f aca="false">IF(AND(F41&gt;=$C41,F41&lt;=$D41,F41&lt;&gt;0,F41&lt;&gt;"n.a."),1,0)</f>
        <v>1</v>
      </c>
      <c r="U41" s="6" t="n">
        <f aca="false">IF(AND(I41&gt;=$C41,I41&lt;=$D41,I41&lt;&gt;0,I41&lt;&gt;"n.a."),1,0)</f>
        <v>0</v>
      </c>
      <c r="V41" s="6" t="n">
        <f aca="false">IF(AND(L41&gt;=$C41,L41&lt;=$D41,L41&lt;&gt;0),1,0)</f>
        <v>0</v>
      </c>
      <c r="W41" s="6" t="n">
        <f aca="false">IF(AND(O41&gt;=$C41,O41&lt;=$D41,O41&lt;&gt;0),1,0)</f>
        <v>0</v>
      </c>
      <c r="X41" s="6" t="n">
        <f aca="false">IF(AND(R41&gt;=$C41,R41&lt;=$D41,R41&lt;&gt;0),1,0)</f>
        <v>0</v>
      </c>
      <c r="Y41" s="6" t="n">
        <f aca="false">SUM($T41:$X41)</f>
        <v>1</v>
      </c>
      <c r="Z41" s="6" t="n">
        <f aca="false">IF($F41="n.a.",0,$F41*$T41)</f>
        <v>0.0149</v>
      </c>
      <c r="AA41" s="6" t="n">
        <f aca="false">IF($I41="n.a.",0,$I41*$U41)</f>
        <v>0</v>
      </c>
      <c r="AB41" s="6" t="n">
        <f aca="false">IF($L41="n.a.",0,$L41*$V41)</f>
        <v>0</v>
      </c>
      <c r="AC41" s="6" t="n">
        <f aca="false">IF($O41="n.a.",0,$O41*$W41)</f>
        <v>0</v>
      </c>
      <c r="AD41" s="6" t="n">
        <f aca="false">IF($R41="n.a.",0,$R41*$X41)</f>
        <v>0</v>
      </c>
      <c r="AE41" s="28"/>
      <c r="AF41" s="6" t="n">
        <f aca="false">IF($G41="n.a.",0,$G41*$T41)</f>
        <v>0.0149</v>
      </c>
      <c r="AG41" s="6" t="n">
        <f aca="false">IF($J41="n.a.",0,$J41*$U41)</f>
        <v>0</v>
      </c>
      <c r="AH41" s="6" t="n">
        <f aca="false">IF($M41="n.a.",0,$M41*$V41)</f>
        <v>0</v>
      </c>
      <c r="AI41" s="6" t="n">
        <f aca="false">IF($P41="n.a.",0,$P41*$W41)</f>
        <v>0</v>
      </c>
      <c r="AJ41" s="6" t="n">
        <f aca="false">IF($S41="n.a.",0,$S41*$X41)</f>
        <v>0</v>
      </c>
      <c r="AK41" s="29" t="n">
        <f aca="false">MAX($Z41:$AD41)</f>
        <v>0.0149</v>
      </c>
      <c r="AL41" s="30" t="n">
        <f aca="false">INDEX(AF41:AJ41,1,MATCH(AK41,Z41:AD41,0))</f>
        <v>0.0149</v>
      </c>
      <c r="AM41" s="30" t="n">
        <f aca="false">IF(IF(AND($T89=1,$T41=0),0,$AL41)=0,"",$AL41)</f>
        <v>0.0149</v>
      </c>
    </row>
    <row r="42" customFormat="false" ht="15" hidden="false" customHeight="false" outlineLevel="0" collapsed="false">
      <c r="A42" s="31" t="s">
        <v>65</v>
      </c>
      <c r="B42" s="32" t="str">
        <f aca="false">$AM42</f>
        <v/>
      </c>
      <c r="C42" s="5" t="n">
        <v>0.008</v>
      </c>
      <c r="D42" s="5" t="n">
        <v>0.2</v>
      </c>
      <c r="F42" s="26" t="n">
        <v>0.0018</v>
      </c>
      <c r="G42" s="26" t="n">
        <v>0.0018</v>
      </c>
      <c r="I42" s="5" t="n">
        <v>0.00188562322284763</v>
      </c>
      <c r="J42" s="27" t="n">
        <v>0.0188562322284763</v>
      </c>
      <c r="L42" s="5"/>
      <c r="M42" s="5"/>
      <c r="O42" s="5"/>
      <c r="P42" s="5"/>
      <c r="R42" s="5"/>
      <c r="S42" s="5"/>
      <c r="T42" s="6" t="n">
        <f aca="false">IF(AND(F42&gt;=$C42,F42&lt;=$D42,F42&lt;&gt;0,F42&lt;&gt;"n.a."),1,0)</f>
        <v>0</v>
      </c>
      <c r="U42" s="6" t="n">
        <f aca="false">IF(AND(I42&gt;=$C42,I42&lt;=$D42,I42&lt;&gt;0,I42&lt;&gt;"n.a."),1,0)</f>
        <v>0</v>
      </c>
      <c r="V42" s="6" t="n">
        <f aca="false">IF(AND(L42&gt;=$C42,L42&lt;=$D42,L42&lt;&gt;0),1,0)</f>
        <v>0</v>
      </c>
      <c r="W42" s="6" t="n">
        <f aca="false">IF(AND(O42&gt;=$C42,O42&lt;=$D42,O42&lt;&gt;0),1,0)</f>
        <v>0</v>
      </c>
      <c r="X42" s="6" t="n">
        <f aca="false">IF(AND(R42&gt;=$C42,R42&lt;=$D42,R42&lt;&gt;0),1,0)</f>
        <v>0</v>
      </c>
      <c r="Y42" s="6" t="n">
        <f aca="false">SUM($T42:$X42)</f>
        <v>0</v>
      </c>
      <c r="Z42" s="6" t="n">
        <f aca="false">IF($F42="n.a.",0,$F42*$T42)</f>
        <v>0</v>
      </c>
      <c r="AA42" s="6" t="n">
        <f aca="false">IF($I42="n.a.",0,$I42*$U42)</f>
        <v>0</v>
      </c>
      <c r="AB42" s="6" t="n">
        <f aca="false">IF($L42="n.a.",0,$L42*$V42)</f>
        <v>0</v>
      </c>
      <c r="AC42" s="6" t="n">
        <f aca="false">IF($O42="n.a.",0,$O42*$W42)</f>
        <v>0</v>
      </c>
      <c r="AD42" s="6" t="n">
        <f aca="false">IF($R42="n.a.",0,$R42*$X42)</f>
        <v>0</v>
      </c>
      <c r="AE42" s="28"/>
      <c r="AF42" s="6" t="n">
        <f aca="false">IF($G42="n.a.",0,$G42*$T42)</f>
        <v>0</v>
      </c>
      <c r="AG42" s="6" t="n">
        <f aca="false">IF($J42="n.a.",0,$J42*$U42)</f>
        <v>0</v>
      </c>
      <c r="AH42" s="6" t="n">
        <f aca="false">IF($M42="n.a.",0,$M42*$V42)</f>
        <v>0</v>
      </c>
      <c r="AI42" s="6" t="n">
        <f aca="false">IF($P42="n.a.",0,$P42*$W42)</f>
        <v>0</v>
      </c>
      <c r="AJ42" s="6" t="n">
        <f aca="false">IF($S42="n.a.",0,$S42*$X42)</f>
        <v>0</v>
      </c>
      <c r="AK42" s="29" t="n">
        <f aca="false">MAX($Z42:$AD42)</f>
        <v>0</v>
      </c>
      <c r="AL42" s="30" t="n">
        <f aca="false">INDEX(AF42:AJ42,1,MATCH(AK42,Z42:AD42,0))</f>
        <v>0</v>
      </c>
      <c r="AM42" s="6" t="str">
        <f aca="false">IF(IF(AND($T90=1,$T42=0),0,$AL42)=0,"",$AL42)</f>
        <v/>
      </c>
    </row>
    <row r="43" customFormat="false" ht="15" hidden="false" customHeight="false" outlineLevel="0" collapsed="false">
      <c r="A43" s="31" t="s">
        <v>66</v>
      </c>
      <c r="B43" s="32" t="str">
        <f aca="false">$AM43</f>
        <v/>
      </c>
      <c r="C43" s="5" t="n">
        <v>0.008</v>
      </c>
      <c r="D43" s="5" t="n">
        <v>0.2</v>
      </c>
      <c r="F43" s="26" t="s">
        <v>32</v>
      </c>
      <c r="G43" s="26" t="s">
        <v>32</v>
      </c>
      <c r="I43" s="5"/>
      <c r="J43" s="27" t="s">
        <v>32</v>
      </c>
      <c r="L43" s="5"/>
      <c r="M43" s="5"/>
      <c r="O43" s="5"/>
      <c r="P43" s="5"/>
      <c r="R43" s="5"/>
      <c r="S43" s="5"/>
      <c r="T43" s="6" t="n">
        <f aca="false">IF(AND(F43&gt;=$C43,F43&lt;=$D43,F43&lt;&gt;0,F43&lt;&gt;"n.a."),1,0)</f>
        <v>0</v>
      </c>
      <c r="U43" s="6" t="n">
        <f aca="false">IF(AND(I43&gt;=$C43,I43&lt;=$D43,I43&lt;&gt;0,I43&lt;&gt;"n.a."),1,0)</f>
        <v>0</v>
      </c>
      <c r="V43" s="6" t="n">
        <f aca="false">IF(AND(L43&gt;=$C43,L43&lt;=$D43,L43&lt;&gt;0),1,0)</f>
        <v>0</v>
      </c>
      <c r="W43" s="6" t="n">
        <f aca="false">IF(AND(O43&gt;=$C43,O43&lt;=$D43,O43&lt;&gt;0),1,0)</f>
        <v>0</v>
      </c>
      <c r="X43" s="6" t="n">
        <f aca="false">IF(AND(R43&gt;=$C43,R43&lt;=$D43,R43&lt;&gt;0),1,0)</f>
        <v>0</v>
      </c>
      <c r="Y43" s="6" t="n">
        <f aca="false">SUM($T43:$X43)</f>
        <v>0</v>
      </c>
      <c r="Z43" s="6" t="n">
        <f aca="false">IF($F43="n.a.",0,$F43*$T43)</f>
        <v>0</v>
      </c>
      <c r="AA43" s="6" t="n">
        <f aca="false">IF($I43="n.a.",0,$I43*$U43)</f>
        <v>0</v>
      </c>
      <c r="AB43" s="6" t="n">
        <f aca="false">IF($L43="n.a.",0,$L43*$V43)</f>
        <v>0</v>
      </c>
      <c r="AC43" s="6" t="n">
        <f aca="false">IF($O43="n.a.",0,$O43*$W43)</f>
        <v>0</v>
      </c>
      <c r="AD43" s="6" t="n">
        <f aca="false">IF($R43="n.a.",0,$R43*$X43)</f>
        <v>0</v>
      </c>
      <c r="AE43" s="28"/>
      <c r="AF43" s="6" t="n">
        <f aca="false">IF($G43="n.a.",0,$G43*$T43)</f>
        <v>0</v>
      </c>
      <c r="AG43" s="6" t="n">
        <f aca="false">IF($J43="n.a.",0,$J43*$U43)</f>
        <v>0</v>
      </c>
      <c r="AH43" s="6" t="n">
        <f aca="false">IF($M43="n.a.",0,$M43*$V43)</f>
        <v>0</v>
      </c>
      <c r="AI43" s="6" t="n">
        <f aca="false">IF($P43="n.a.",0,$P43*$W43)</f>
        <v>0</v>
      </c>
      <c r="AJ43" s="6" t="n">
        <f aca="false">IF($S43="n.a.",0,$S43*$X43)</f>
        <v>0</v>
      </c>
      <c r="AK43" s="29" t="n">
        <f aca="false">MAX($Z43:$AD43)</f>
        <v>0</v>
      </c>
      <c r="AL43" s="30" t="n">
        <f aca="false">INDEX(AF43:AJ43,1,MATCH(AK43,Z43:AD43,0))</f>
        <v>0</v>
      </c>
      <c r="AM43" s="6" t="str">
        <f aca="false">IF(IF(AND($T91=1,$T43=0),0,$AL43)=0,"",$AL43)</f>
        <v/>
      </c>
    </row>
    <row r="44" customFormat="false" ht="15" hidden="false" customHeight="false" outlineLevel="0" collapsed="false">
      <c r="A44" s="31" t="s">
        <v>67</v>
      </c>
      <c r="B44" s="32" t="str">
        <f aca="false">$AM44</f>
        <v/>
      </c>
      <c r="C44" s="5" t="n">
        <v>0.0008</v>
      </c>
      <c r="D44" s="5" t="n">
        <v>0.2</v>
      </c>
      <c r="F44" s="26" t="s">
        <v>32</v>
      </c>
      <c r="G44" s="26" t="s">
        <v>32</v>
      </c>
      <c r="I44" s="5"/>
      <c r="J44" s="27" t="s">
        <v>32</v>
      </c>
      <c r="L44" s="5"/>
      <c r="M44" s="5"/>
      <c r="O44" s="5"/>
      <c r="P44" s="5"/>
      <c r="R44" s="5"/>
      <c r="S44" s="5"/>
      <c r="T44" s="6" t="n">
        <f aca="false">IF(AND(F44&gt;=$C44,F44&lt;=$D44,F44&lt;&gt;0,F44&lt;&gt;"n.a."),1,0)</f>
        <v>0</v>
      </c>
      <c r="U44" s="6" t="n">
        <f aca="false">IF(AND(I44&gt;=$C44,I44&lt;=$D44,I44&lt;&gt;0,I44&lt;&gt;"n.a."),1,0)</f>
        <v>0</v>
      </c>
      <c r="V44" s="6" t="n">
        <f aca="false">IF(AND(L44&gt;=$C44,L44&lt;=$D44,L44&lt;&gt;0),1,0)</f>
        <v>0</v>
      </c>
      <c r="W44" s="6" t="n">
        <f aca="false">IF(AND(O44&gt;=$C44,O44&lt;=$D44,O44&lt;&gt;0),1,0)</f>
        <v>0</v>
      </c>
      <c r="X44" s="6" t="n">
        <f aca="false">IF(AND(R44&gt;=$C44,R44&lt;=$D44,R44&lt;&gt;0),1,0)</f>
        <v>0</v>
      </c>
      <c r="Y44" s="6" t="n">
        <f aca="false">SUM($T44:$X44)</f>
        <v>0</v>
      </c>
      <c r="Z44" s="6" t="n">
        <f aca="false">IF($F44="n.a.",0,$F44*$T44)</f>
        <v>0</v>
      </c>
      <c r="AA44" s="6" t="n">
        <f aca="false">IF($I44="n.a.",0,$I44*$U44)</f>
        <v>0</v>
      </c>
      <c r="AB44" s="6" t="n">
        <f aca="false">IF($L44="n.a.",0,$L44*$V44)</f>
        <v>0</v>
      </c>
      <c r="AC44" s="6" t="n">
        <f aca="false">IF($O44="n.a.",0,$O44*$W44)</f>
        <v>0</v>
      </c>
      <c r="AD44" s="6" t="n">
        <f aca="false">IF($R44="n.a.",0,$R44*$X44)</f>
        <v>0</v>
      </c>
      <c r="AE44" s="28"/>
      <c r="AF44" s="6" t="n">
        <f aca="false">IF($G44="n.a.",0,$G44*$T44)</f>
        <v>0</v>
      </c>
      <c r="AG44" s="6" t="n">
        <f aca="false">IF($J44="n.a.",0,$J44*$U44)</f>
        <v>0</v>
      </c>
      <c r="AH44" s="6" t="n">
        <f aca="false">IF($M44="n.a.",0,$M44*$V44)</f>
        <v>0</v>
      </c>
      <c r="AI44" s="6" t="n">
        <f aca="false">IF($P44="n.a.",0,$P44*$W44)</f>
        <v>0</v>
      </c>
      <c r="AJ44" s="6" t="n">
        <f aca="false">IF($S44="n.a.",0,$S44*$X44)</f>
        <v>0</v>
      </c>
      <c r="AK44" s="29" t="n">
        <f aca="false">MAX($Z44:$AD44)</f>
        <v>0</v>
      </c>
      <c r="AL44" s="30" t="n">
        <f aca="false">INDEX(AF44:AJ44,1,MATCH(AK44,Z44:AD44,0))</f>
        <v>0</v>
      </c>
      <c r="AM44" s="6" t="str">
        <f aca="false">IF(IF(AND($T92=1,$T44=0),0,$AL44)=0,"",$AL44)</f>
        <v/>
      </c>
    </row>
    <row r="45" customFormat="false" ht="15" hidden="false" customHeight="false" outlineLevel="0" collapsed="false">
      <c r="A45" s="31" t="s">
        <v>68</v>
      </c>
      <c r="B45" s="32" t="str">
        <f aca="false">$AM45</f>
        <v/>
      </c>
      <c r="C45" s="5" t="n">
        <v>0.008</v>
      </c>
      <c r="D45" s="5" t="n">
        <v>0.2</v>
      </c>
      <c r="F45" s="26" t="n">
        <v>0.0005</v>
      </c>
      <c r="G45" s="26" t="n">
        <v>0.0005</v>
      </c>
      <c r="I45" s="5" t="n">
        <v>0.00061051970381295</v>
      </c>
      <c r="J45" s="27" t="n">
        <v>0.0061051970381295</v>
      </c>
      <c r="L45" s="5"/>
      <c r="M45" s="5"/>
      <c r="O45" s="5"/>
      <c r="P45" s="5"/>
      <c r="R45" s="5"/>
      <c r="S45" s="5"/>
      <c r="T45" s="6" t="n">
        <f aca="false">IF(AND(F45&gt;=$C45,F45&lt;=$D45,F45&lt;&gt;0,F45&lt;&gt;"n.a."),1,0)</f>
        <v>0</v>
      </c>
      <c r="U45" s="6" t="n">
        <f aca="false">IF(AND(I45&gt;=$C45,I45&lt;=$D45,I45&lt;&gt;0,I45&lt;&gt;"n.a."),1,0)</f>
        <v>0</v>
      </c>
      <c r="V45" s="6" t="n">
        <f aca="false">IF(AND(L45&gt;=$C45,L45&lt;=$D45,L45&lt;&gt;0),1,0)</f>
        <v>0</v>
      </c>
      <c r="W45" s="6" t="n">
        <f aca="false">IF(AND(O45&gt;=$C45,O45&lt;=$D45,O45&lt;&gt;0),1,0)</f>
        <v>0</v>
      </c>
      <c r="X45" s="6" t="n">
        <f aca="false">IF(AND(R45&gt;=$C45,R45&lt;=$D45,R45&lt;&gt;0),1,0)</f>
        <v>0</v>
      </c>
      <c r="Y45" s="6" t="n">
        <f aca="false">SUM($T45:$X45)</f>
        <v>0</v>
      </c>
      <c r="Z45" s="6" t="n">
        <f aca="false">IF($F45="n.a.",0,$F45*$T45)</f>
        <v>0</v>
      </c>
      <c r="AA45" s="6" t="n">
        <f aca="false">IF($I45="n.a.",0,$I45*$U45)</f>
        <v>0</v>
      </c>
      <c r="AB45" s="6" t="n">
        <f aca="false">IF($L45="n.a.",0,$L45*$V45)</f>
        <v>0</v>
      </c>
      <c r="AC45" s="6" t="n">
        <f aca="false">IF($O45="n.a.",0,$O45*$W45)</f>
        <v>0</v>
      </c>
      <c r="AD45" s="6" t="n">
        <f aca="false">IF($R45="n.a.",0,$R45*$X45)</f>
        <v>0</v>
      </c>
      <c r="AE45" s="28"/>
      <c r="AF45" s="6" t="n">
        <f aca="false">IF($G45="n.a.",0,$G45*$T45)</f>
        <v>0</v>
      </c>
      <c r="AG45" s="6" t="n">
        <f aca="false">IF($J45="n.a.",0,$J45*$U45)</f>
        <v>0</v>
      </c>
      <c r="AH45" s="6" t="n">
        <f aca="false">IF($M45="n.a.",0,$M45*$V45)</f>
        <v>0</v>
      </c>
      <c r="AI45" s="6" t="n">
        <f aca="false">IF($P45="n.a.",0,$P45*$W45)</f>
        <v>0</v>
      </c>
      <c r="AJ45" s="6" t="n">
        <f aca="false">IF($S45="n.a.",0,$S45*$X45)</f>
        <v>0</v>
      </c>
      <c r="AK45" s="29" t="n">
        <f aca="false">MAX($Z45:$AD45)</f>
        <v>0</v>
      </c>
      <c r="AL45" s="30" t="n">
        <f aca="false">INDEX(AF45:AJ45,1,MATCH(AK45,Z45:AD45,0))</f>
        <v>0</v>
      </c>
      <c r="AM45" s="6" t="str">
        <f aca="false">IF(IF(AND($T93=1,$T45=0),0,$AL45)=0,"",$AL45)</f>
        <v/>
      </c>
    </row>
    <row r="46" customFormat="false" ht="15" hidden="false" customHeight="false" outlineLevel="0" collapsed="false">
      <c r="A46" s="31" t="s">
        <v>69</v>
      </c>
      <c r="B46" s="32" t="str">
        <f aca="false">$AM46</f>
        <v/>
      </c>
      <c r="C46" s="5" t="n">
        <v>0.008</v>
      </c>
      <c r="D46" s="5" t="n">
        <v>0.2</v>
      </c>
      <c r="F46" s="26" t="n">
        <v>0.0004</v>
      </c>
      <c r="G46" s="26" t="n">
        <v>0.0004</v>
      </c>
      <c r="I46" s="5" t="n">
        <v>0.000476079571549227</v>
      </c>
      <c r="J46" s="27" t="n">
        <v>0.00476079571549227</v>
      </c>
      <c r="L46" s="5"/>
      <c r="M46" s="5"/>
      <c r="O46" s="5"/>
      <c r="P46" s="5"/>
      <c r="R46" s="5"/>
      <c r="S46" s="5"/>
      <c r="T46" s="6" t="n">
        <f aca="false">IF(AND(F46&gt;=$C46,F46&lt;=$D46,F46&lt;&gt;0,F46&lt;&gt;"n.a."),1,0)</f>
        <v>0</v>
      </c>
      <c r="U46" s="6" t="n">
        <f aca="false">IF(AND(I46&gt;=$C46,I46&lt;=$D46,I46&lt;&gt;0,I46&lt;&gt;"n.a."),1,0)</f>
        <v>0</v>
      </c>
      <c r="V46" s="6" t="n">
        <f aca="false">IF(AND(L46&gt;=$C46,L46&lt;=$D46,L46&lt;&gt;0),1,0)</f>
        <v>0</v>
      </c>
      <c r="W46" s="6" t="n">
        <f aca="false">IF(AND(O46&gt;=$C46,O46&lt;=$D46,O46&lt;&gt;0),1,0)</f>
        <v>0</v>
      </c>
      <c r="X46" s="6" t="n">
        <f aca="false">IF(AND(R46&gt;=$C46,R46&lt;=$D46,R46&lt;&gt;0),1,0)</f>
        <v>0</v>
      </c>
      <c r="Y46" s="6" t="n">
        <f aca="false">SUM($T46:$X46)</f>
        <v>0</v>
      </c>
      <c r="Z46" s="6" t="n">
        <f aca="false">IF($F46="n.a.",0,$F46*$T46)</f>
        <v>0</v>
      </c>
      <c r="AA46" s="6" t="n">
        <f aca="false">IF($I46="n.a.",0,$I46*$U46)</f>
        <v>0</v>
      </c>
      <c r="AB46" s="6" t="n">
        <f aca="false">IF($L46="n.a.",0,$L46*$V46)</f>
        <v>0</v>
      </c>
      <c r="AC46" s="6" t="n">
        <f aca="false">IF($O46="n.a.",0,$O46*$W46)</f>
        <v>0</v>
      </c>
      <c r="AD46" s="6" t="n">
        <f aca="false">IF($R46="n.a.",0,$R46*$X46)</f>
        <v>0</v>
      </c>
      <c r="AE46" s="28"/>
      <c r="AF46" s="6" t="n">
        <f aca="false">IF($G46="n.a.",0,$G46*$T46)</f>
        <v>0</v>
      </c>
      <c r="AG46" s="6" t="n">
        <f aca="false">IF($J46="n.a.",0,$J46*$U46)</f>
        <v>0</v>
      </c>
      <c r="AH46" s="6" t="n">
        <f aca="false">IF($M46="n.a.",0,$M46*$V46)</f>
        <v>0</v>
      </c>
      <c r="AI46" s="6" t="n">
        <f aca="false">IF($P46="n.a.",0,$P46*$W46)</f>
        <v>0</v>
      </c>
      <c r="AJ46" s="6" t="n">
        <f aca="false">IF($S46="n.a.",0,$S46*$X46)</f>
        <v>0</v>
      </c>
      <c r="AK46" s="29" t="n">
        <f aca="false">MAX($Z46:$AD46)</f>
        <v>0</v>
      </c>
      <c r="AL46" s="30" t="n">
        <f aca="false">INDEX(AF46:AJ46,1,MATCH(AK46,Z46:AD46,0))</f>
        <v>0</v>
      </c>
      <c r="AM46" s="6" t="str">
        <f aca="false">IF(IF(AND($T94=1,$T46=0),0,$AL46)=0,"",$AL46)</f>
        <v/>
      </c>
    </row>
    <row r="47" customFormat="false" ht="15" hidden="false" customHeight="false" outlineLevel="0" collapsed="false">
      <c r="A47" s="31" t="s">
        <v>70</v>
      </c>
      <c r="B47" s="32" t="str">
        <f aca="false">$AM47</f>
        <v/>
      </c>
      <c r="C47" s="5" t="n">
        <v>0.008</v>
      </c>
      <c r="D47" s="5" t="n">
        <v>0.2</v>
      </c>
      <c r="F47" s="26" t="n">
        <v>0.0004</v>
      </c>
      <c r="G47" s="26" t="n">
        <v>0.0004</v>
      </c>
      <c r="I47" s="5" t="n">
        <v>0.000415765702881753</v>
      </c>
      <c r="J47" s="27" t="n">
        <v>0.00415765702881753</v>
      </c>
      <c r="L47" s="5"/>
      <c r="M47" s="5"/>
      <c r="O47" s="5"/>
      <c r="P47" s="5"/>
      <c r="R47" s="5"/>
      <c r="S47" s="5"/>
      <c r="T47" s="6" t="n">
        <f aca="false">IF(AND(F47&gt;=$C47,F47&lt;=$D47,F47&lt;&gt;0,F47&lt;&gt;"n.a."),1,0)</f>
        <v>0</v>
      </c>
      <c r="U47" s="6" t="n">
        <f aca="false">IF(AND(I47&gt;=$C47,I47&lt;=$D47,I47&lt;&gt;0,I47&lt;&gt;"n.a."),1,0)</f>
        <v>0</v>
      </c>
      <c r="V47" s="6" t="n">
        <f aca="false">IF(AND(L47&gt;=$C47,L47&lt;=$D47,L47&lt;&gt;0),1,0)</f>
        <v>0</v>
      </c>
      <c r="W47" s="6" t="n">
        <f aca="false">IF(AND(O47&gt;=$C47,O47&lt;=$D47,O47&lt;&gt;0),1,0)</f>
        <v>0</v>
      </c>
      <c r="X47" s="6" t="n">
        <f aca="false">IF(AND(R47&gt;=$C47,R47&lt;=$D47,R47&lt;&gt;0),1,0)</f>
        <v>0</v>
      </c>
      <c r="Y47" s="6" t="n">
        <f aca="false">SUM($T47:$X47)</f>
        <v>0</v>
      </c>
      <c r="Z47" s="6" t="n">
        <f aca="false">IF($F47="n.a.",0,$F47*$T47)</f>
        <v>0</v>
      </c>
      <c r="AA47" s="6" t="n">
        <f aca="false">IF($I47="n.a.",0,$I47*$U47)</f>
        <v>0</v>
      </c>
      <c r="AB47" s="6" t="n">
        <f aca="false">IF($L47="n.a.",0,$L47*$V47)</f>
        <v>0</v>
      </c>
      <c r="AC47" s="6" t="n">
        <f aca="false">IF($O47="n.a.",0,$O47*$W47)</f>
        <v>0</v>
      </c>
      <c r="AD47" s="6" t="n">
        <f aca="false">IF($R47="n.a.",0,$R47*$X47)</f>
        <v>0</v>
      </c>
      <c r="AE47" s="28"/>
      <c r="AF47" s="6" t="n">
        <f aca="false">IF($G47="n.a.",0,$G47*$T47)</f>
        <v>0</v>
      </c>
      <c r="AG47" s="6" t="n">
        <f aca="false">IF($J47="n.a.",0,$J47*$U47)</f>
        <v>0</v>
      </c>
      <c r="AH47" s="6" t="n">
        <f aca="false">IF($M47="n.a.",0,$M47*$V47)</f>
        <v>0</v>
      </c>
      <c r="AI47" s="6" t="n">
        <f aca="false">IF($P47="n.a.",0,$P47*$W47)</f>
        <v>0</v>
      </c>
      <c r="AJ47" s="6" t="n">
        <f aca="false">IF($S47="n.a.",0,$S47*$X47)</f>
        <v>0</v>
      </c>
      <c r="AK47" s="29" t="n">
        <f aca="false">MAX($Z47:$AD47)</f>
        <v>0</v>
      </c>
      <c r="AL47" s="30" t="n">
        <f aca="false">INDEX(AF47:AJ47,1,MATCH(AK47,Z47:AD47,0))</f>
        <v>0</v>
      </c>
      <c r="AM47" s="6" t="str">
        <f aca="false">IF(IF(AND($T95=1,$T47=0),0,$AL47)=0,"",$AL47)</f>
        <v/>
      </c>
    </row>
    <row r="48" customFormat="false" ht="15" hidden="false" customHeight="false" outlineLevel="0" collapsed="false">
      <c r="A48" s="31" t="s">
        <v>71</v>
      </c>
      <c r="B48" s="32" t="str">
        <f aca="false">$AM48</f>
        <v/>
      </c>
      <c r="C48" s="5" t="n">
        <v>0.008</v>
      </c>
      <c r="D48" s="5" t="n">
        <v>0.2</v>
      </c>
      <c r="F48" s="26" t="n">
        <v>0.0014</v>
      </c>
      <c r="G48" s="26" t="n">
        <v>0.0014</v>
      </c>
      <c r="I48" s="5" t="n">
        <v>0.00153702563787382</v>
      </c>
      <c r="J48" s="27" t="n">
        <v>0.0153702563787382</v>
      </c>
      <c r="L48" s="5"/>
      <c r="M48" s="5"/>
      <c r="O48" s="5"/>
      <c r="P48" s="5"/>
      <c r="R48" s="5"/>
      <c r="S48" s="5"/>
      <c r="T48" s="6" t="n">
        <f aca="false">IF(AND(F48&gt;=$C48,F48&lt;=$D48,F48&lt;&gt;0,F48&lt;&gt;"n.a."),1,0)</f>
        <v>0</v>
      </c>
      <c r="U48" s="6" t="n">
        <f aca="false">IF(AND(I48&gt;=$C48,I48&lt;=$D48,I48&lt;&gt;0,I48&lt;&gt;"n.a."),1,0)</f>
        <v>0</v>
      </c>
      <c r="V48" s="6" t="n">
        <f aca="false">IF(AND(L48&gt;=$C48,L48&lt;=$D48,L48&lt;&gt;0),1,0)</f>
        <v>0</v>
      </c>
      <c r="W48" s="6" t="n">
        <f aca="false">IF(AND(O48&gt;=$C48,O48&lt;=$D48,O48&lt;&gt;0),1,0)</f>
        <v>0</v>
      </c>
      <c r="X48" s="6" t="n">
        <f aca="false">IF(AND(R48&gt;=$C48,R48&lt;=$D48,R48&lt;&gt;0),1,0)</f>
        <v>0</v>
      </c>
      <c r="Y48" s="6" t="n">
        <f aca="false">SUM($T48:$X48)</f>
        <v>0</v>
      </c>
      <c r="Z48" s="6" t="n">
        <f aca="false">IF($F48="n.a.",0,$F48*$T48)</f>
        <v>0</v>
      </c>
      <c r="AA48" s="6" t="n">
        <f aca="false">IF($I48="n.a.",0,$I48*$U48)</f>
        <v>0</v>
      </c>
      <c r="AB48" s="6" t="n">
        <f aca="false">IF($L48="n.a.",0,$L48*$V48)</f>
        <v>0</v>
      </c>
      <c r="AC48" s="6" t="n">
        <f aca="false">IF($O48="n.a.",0,$O48*$W48)</f>
        <v>0</v>
      </c>
      <c r="AD48" s="6" t="n">
        <f aca="false">IF($R48="n.a.",0,$R48*$X48)</f>
        <v>0</v>
      </c>
      <c r="AE48" s="28"/>
      <c r="AF48" s="6" t="n">
        <f aca="false">IF($G48="n.a.",0,$G48*$T48)</f>
        <v>0</v>
      </c>
      <c r="AG48" s="6" t="n">
        <f aca="false">IF($J48="n.a.",0,$J48*$U48)</f>
        <v>0</v>
      </c>
      <c r="AH48" s="6" t="n">
        <f aca="false">IF($M48="n.a.",0,$M48*$V48)</f>
        <v>0</v>
      </c>
      <c r="AI48" s="6" t="n">
        <f aca="false">IF($P48="n.a.",0,$P48*$W48)</f>
        <v>0</v>
      </c>
      <c r="AJ48" s="6" t="n">
        <f aca="false">IF($S48="n.a.",0,$S48*$X48)</f>
        <v>0</v>
      </c>
      <c r="AK48" s="29" t="n">
        <f aca="false">MAX($Z48:$AD48)</f>
        <v>0</v>
      </c>
      <c r="AL48" s="30" t="n">
        <f aca="false">INDEX(AF48:AJ48,1,MATCH(AK48,Z48:AD48,0))</f>
        <v>0</v>
      </c>
      <c r="AM48" s="6" t="str">
        <f aca="false">IF(IF(AND($T96=1,$T48=0),0,$AL48)=0,"",$AL48)</f>
        <v/>
      </c>
    </row>
    <row r="49" customFormat="false" ht="15" hidden="false" customHeight="false" outlineLevel="0" collapsed="false">
      <c r="A49" s="31" t="s">
        <v>72</v>
      </c>
      <c r="B49" s="32" t="str">
        <f aca="false">$AM49</f>
        <v/>
      </c>
      <c r="C49" s="5" t="n">
        <v>0.008</v>
      </c>
      <c r="D49" s="5" t="n">
        <v>0.2</v>
      </c>
      <c r="F49" s="26" t="n">
        <v>0.0031</v>
      </c>
      <c r="G49" s="26" t="n">
        <v>0.0031</v>
      </c>
      <c r="I49" s="5" t="n">
        <v>0.00326046938942678</v>
      </c>
      <c r="J49" s="27" t="n">
        <v>0.0326046938942678</v>
      </c>
      <c r="L49" s="5"/>
      <c r="M49" s="5"/>
      <c r="O49" s="5"/>
      <c r="P49" s="5"/>
      <c r="R49" s="5"/>
      <c r="S49" s="5"/>
      <c r="T49" s="6" t="n">
        <f aca="false">IF(AND(F49&gt;=$C49,F49&lt;=$D49,F49&lt;&gt;0,F49&lt;&gt;"n.a."),1,0)</f>
        <v>0</v>
      </c>
      <c r="U49" s="6" t="n">
        <f aca="false">IF(AND(I49&gt;=$C49,I49&lt;=$D49,I49&lt;&gt;0,I49&lt;&gt;"n.a."),1,0)</f>
        <v>0</v>
      </c>
      <c r="V49" s="6" t="n">
        <f aca="false">IF(AND(L49&gt;=$C49,L49&lt;=$D49,L49&lt;&gt;0),1,0)</f>
        <v>0</v>
      </c>
      <c r="W49" s="6" t="n">
        <f aca="false">IF(AND(O49&gt;=$C49,O49&lt;=$D49,O49&lt;&gt;0),1,0)</f>
        <v>0</v>
      </c>
      <c r="X49" s="6" t="n">
        <f aca="false">IF(AND(R49&gt;=$C49,R49&lt;=$D49,R49&lt;&gt;0),1,0)</f>
        <v>0</v>
      </c>
      <c r="Y49" s="6" t="n">
        <f aca="false">SUM($T49:$X49)</f>
        <v>0</v>
      </c>
      <c r="Z49" s="6" t="n">
        <f aca="false">IF($F49="n.a.",0,$F49*$T49)</f>
        <v>0</v>
      </c>
      <c r="AA49" s="6" t="n">
        <f aca="false">IF($I49="n.a.",0,$I49*$U49)</f>
        <v>0</v>
      </c>
      <c r="AB49" s="6" t="n">
        <f aca="false">IF($L49="n.a.",0,$L49*$V49)</f>
        <v>0</v>
      </c>
      <c r="AC49" s="6" t="n">
        <f aca="false">IF($O49="n.a.",0,$O49*$W49)</f>
        <v>0</v>
      </c>
      <c r="AD49" s="6" t="n">
        <f aca="false">IF($R49="n.a.",0,$R49*$X49)</f>
        <v>0</v>
      </c>
      <c r="AE49" s="28"/>
      <c r="AF49" s="6" t="n">
        <f aca="false">IF($G49="n.a.",0,$G49*$T49)</f>
        <v>0</v>
      </c>
      <c r="AG49" s="6" t="n">
        <f aca="false">IF($J49="n.a.",0,$J49*$U49)</f>
        <v>0</v>
      </c>
      <c r="AH49" s="6" t="n">
        <f aca="false">IF($M49="n.a.",0,$M49*$V49)</f>
        <v>0</v>
      </c>
      <c r="AI49" s="6" t="n">
        <f aca="false">IF($P49="n.a.",0,$P49*$W49)</f>
        <v>0</v>
      </c>
      <c r="AJ49" s="6" t="n">
        <f aca="false">IF($S49="n.a.",0,$S49*$X49)</f>
        <v>0</v>
      </c>
      <c r="AK49" s="29" t="n">
        <f aca="false">MAX($Z49:$AD49)</f>
        <v>0</v>
      </c>
      <c r="AL49" s="30" t="n">
        <f aca="false">INDEX(AF49:AJ49,1,MATCH(AK49,Z49:AD49,0))</f>
        <v>0</v>
      </c>
      <c r="AM49" s="6" t="str">
        <f aca="false">IF(IF(AND($T97=1,$T49=0),0,$AL49)=0,"",$AL49)</f>
        <v/>
      </c>
    </row>
    <row r="50" customFormat="false" ht="15" hidden="false" customHeight="false" outlineLevel="0" collapsed="false">
      <c r="A50" s="31" t="s">
        <v>73</v>
      </c>
      <c r="B50" s="32" t="str">
        <f aca="false">$AM50</f>
        <v/>
      </c>
      <c r="C50" s="5" t="n">
        <v>0.008</v>
      </c>
      <c r="D50" s="5" t="n">
        <v>0.2</v>
      </c>
      <c r="F50" s="26" t="n">
        <v>0.0013</v>
      </c>
      <c r="G50" s="26" t="n">
        <v>0.0013</v>
      </c>
      <c r="I50" s="5" t="n">
        <v>0.00147433227350532</v>
      </c>
      <c r="J50" s="27" t="n">
        <v>0.0147433227350532</v>
      </c>
      <c r="L50" s="5"/>
      <c r="M50" s="5"/>
      <c r="O50" s="5"/>
      <c r="P50" s="5"/>
      <c r="R50" s="5"/>
      <c r="S50" s="5"/>
      <c r="T50" s="6" t="n">
        <f aca="false">IF(AND(F50&gt;=$C50,F50&lt;=$D50,F50&lt;&gt;0,F50&lt;&gt;"n.a."),1,0)</f>
        <v>0</v>
      </c>
      <c r="U50" s="6" t="n">
        <f aca="false">IF(AND(I50&gt;=$C50,I50&lt;=$D50,I50&lt;&gt;0,I50&lt;&gt;"n.a."),1,0)</f>
        <v>0</v>
      </c>
      <c r="V50" s="6" t="n">
        <f aca="false">IF(AND(L50&gt;=$C50,L50&lt;=$D50,L50&lt;&gt;0),1,0)</f>
        <v>0</v>
      </c>
      <c r="W50" s="6" t="n">
        <f aca="false">IF(AND(O50&gt;=$C50,O50&lt;=$D50,O50&lt;&gt;0),1,0)</f>
        <v>0</v>
      </c>
      <c r="X50" s="6" t="n">
        <f aca="false">IF(AND(R50&gt;=$C50,R50&lt;=$D50,R50&lt;&gt;0),1,0)</f>
        <v>0</v>
      </c>
      <c r="Y50" s="6" t="n">
        <f aca="false">SUM($T50:$X50)</f>
        <v>0</v>
      </c>
      <c r="Z50" s="6" t="n">
        <f aca="false">IF($F50="n.a.",0,$F50*$T50)</f>
        <v>0</v>
      </c>
      <c r="AA50" s="6" t="n">
        <f aca="false">IF($I50="n.a.",0,$I50*$U50)</f>
        <v>0</v>
      </c>
      <c r="AB50" s="6" t="n">
        <f aca="false">IF($L50="n.a.",0,$L50*$V50)</f>
        <v>0</v>
      </c>
      <c r="AC50" s="6" t="n">
        <f aca="false">IF($O50="n.a.",0,$O50*$W50)</f>
        <v>0</v>
      </c>
      <c r="AD50" s="6" t="n">
        <f aca="false">IF($R50="n.a.",0,$R50*$X50)</f>
        <v>0</v>
      </c>
      <c r="AE50" s="28"/>
      <c r="AF50" s="6" t="n">
        <f aca="false">IF($G50="n.a.",0,$G50*$T50)</f>
        <v>0</v>
      </c>
      <c r="AG50" s="6" t="n">
        <f aca="false">IF($J50="n.a.",0,$J50*$U50)</f>
        <v>0</v>
      </c>
      <c r="AH50" s="6" t="n">
        <f aca="false">IF($M50="n.a.",0,$M50*$V50)</f>
        <v>0</v>
      </c>
      <c r="AI50" s="6" t="n">
        <f aca="false">IF($P50="n.a.",0,$P50*$W50)</f>
        <v>0</v>
      </c>
      <c r="AJ50" s="6" t="n">
        <f aca="false">IF($S50="n.a.",0,$S50*$X50)</f>
        <v>0</v>
      </c>
      <c r="AK50" s="29" t="n">
        <f aca="false">MAX($Z50:$AD50)</f>
        <v>0</v>
      </c>
      <c r="AL50" s="30" t="n">
        <f aca="false">INDEX(AF50:AJ50,1,MATCH(AK50,Z50:AD50,0))</f>
        <v>0</v>
      </c>
      <c r="AM50" s="6" t="str">
        <f aca="false">IF(IF(AND($T98=1,$T50=0),0,$AL50)=0,"",$AL50)</f>
        <v/>
      </c>
    </row>
    <row r="51" customFormat="false" ht="15" hidden="false" customHeight="false" outlineLevel="0" collapsed="false">
      <c r="A51" s="31" t="s">
        <v>74</v>
      </c>
      <c r="B51" s="32" t="str">
        <f aca="false">$AM51</f>
        <v/>
      </c>
      <c r="C51" s="5" t="n">
        <v>0.008</v>
      </c>
      <c r="D51" s="5" t="n">
        <v>0.2</v>
      </c>
      <c r="F51" s="26" t="n">
        <v>0.0059</v>
      </c>
      <c r="G51" s="26" t="n">
        <v>0.0059</v>
      </c>
      <c r="I51" s="5" t="n">
        <v>0.00600786032348446</v>
      </c>
      <c r="J51" s="27" t="n">
        <v>0.0600786032348446</v>
      </c>
      <c r="L51" s="5"/>
      <c r="M51" s="5"/>
      <c r="O51" s="5"/>
      <c r="P51" s="5"/>
      <c r="R51" s="5"/>
      <c r="S51" s="5"/>
      <c r="T51" s="6" t="n">
        <f aca="false">IF(AND(F51&gt;=$C51,F51&lt;=$D51,F51&lt;&gt;0,F51&lt;&gt;"n.a."),1,0)</f>
        <v>0</v>
      </c>
      <c r="U51" s="6" t="n">
        <f aca="false">IF(AND(I51&gt;=$C51,I51&lt;=$D51,I51&lt;&gt;0,I51&lt;&gt;"n.a."),1,0)</f>
        <v>0</v>
      </c>
      <c r="V51" s="6" t="n">
        <f aca="false">IF(AND(L51&gt;=$C51,L51&lt;=$D51,L51&lt;&gt;0),1,0)</f>
        <v>0</v>
      </c>
      <c r="W51" s="6" t="n">
        <f aca="false">IF(AND(O51&gt;=$C51,O51&lt;=$D51,O51&lt;&gt;0),1,0)</f>
        <v>0</v>
      </c>
      <c r="X51" s="6" t="n">
        <f aca="false">IF(AND(R51&gt;=$C51,R51&lt;=$D51,R51&lt;&gt;0),1,0)</f>
        <v>0</v>
      </c>
      <c r="Y51" s="6" t="n">
        <f aca="false">SUM($T51:$X51)</f>
        <v>0</v>
      </c>
      <c r="Z51" s="6" t="n">
        <f aca="false">IF($F51="n.a.",0,$F51*$T51)</f>
        <v>0</v>
      </c>
      <c r="AA51" s="6" t="n">
        <f aca="false">IF($I51="n.a.",0,$I51*$U51)</f>
        <v>0</v>
      </c>
      <c r="AB51" s="6" t="n">
        <f aca="false">IF($L51="n.a.",0,$L51*$V51)</f>
        <v>0</v>
      </c>
      <c r="AC51" s="6" t="n">
        <f aca="false">IF($O51="n.a.",0,$O51*$W51)</f>
        <v>0</v>
      </c>
      <c r="AD51" s="6" t="n">
        <f aca="false">IF($R51="n.a.",0,$R51*$X51)</f>
        <v>0</v>
      </c>
      <c r="AE51" s="28"/>
      <c r="AF51" s="6" t="n">
        <f aca="false">IF($G51="n.a.",0,$G51*$T51)</f>
        <v>0</v>
      </c>
      <c r="AG51" s="6" t="n">
        <f aca="false">IF($J51="n.a.",0,$J51*$U51)</f>
        <v>0</v>
      </c>
      <c r="AH51" s="6" t="n">
        <f aca="false">IF($M51="n.a.",0,$M51*$V51)</f>
        <v>0</v>
      </c>
      <c r="AI51" s="6" t="n">
        <f aca="false">IF($P51="n.a.",0,$P51*$W51)</f>
        <v>0</v>
      </c>
      <c r="AJ51" s="6" t="n">
        <f aca="false">IF($S51="n.a.",0,$S51*$X51)</f>
        <v>0</v>
      </c>
      <c r="AK51" s="29" t="n">
        <f aca="false">MAX($Z51:$AD51)</f>
        <v>0</v>
      </c>
      <c r="AL51" s="30" t="n">
        <f aca="false">INDEX(AF51:AJ51,1,MATCH(AK51,Z51:AD51,0))</f>
        <v>0</v>
      </c>
      <c r="AM51" s="6" t="str">
        <f aca="false">IF(IF(AND($T99=1,$T51=0),0,$AL51)=0,"",$AL51)</f>
        <v/>
      </c>
    </row>
    <row r="52" customFormat="false" ht="15" hidden="false" customHeight="false" outlineLevel="0" collapsed="false">
      <c r="A52" s="33" t="s">
        <v>75</v>
      </c>
      <c r="B52" s="34" t="str">
        <f aca="false">$AM52</f>
        <v/>
      </c>
      <c r="C52" s="35" t="n">
        <v>0.008</v>
      </c>
      <c r="D52" s="35" t="n">
        <v>0.2</v>
      </c>
      <c r="F52" s="36" t="n">
        <v>0.0033</v>
      </c>
      <c r="G52" s="36" t="n">
        <v>0.0033</v>
      </c>
      <c r="I52" s="35" t="n">
        <v>0.00346195763368197</v>
      </c>
      <c r="J52" s="37" t="n">
        <v>0.0346195763368197</v>
      </c>
      <c r="L52" s="35"/>
      <c r="M52" s="35"/>
      <c r="O52" s="35"/>
      <c r="P52" s="35"/>
      <c r="R52" s="35"/>
      <c r="S52" s="35"/>
      <c r="T52" s="6" t="n">
        <f aca="false">IF(AND(F52&gt;=$C52,F52&lt;=$D52,F52&lt;&gt;0,F52&lt;&gt;"n.a."),1,0)</f>
        <v>0</v>
      </c>
      <c r="U52" s="6" t="n">
        <f aca="false">IF(AND(I52&gt;=$C52,I52&lt;=$D52,I52&lt;&gt;0,I52&lt;&gt;"n.a."),1,0)</f>
        <v>0</v>
      </c>
      <c r="V52" s="6" t="n">
        <f aca="false">IF(AND(L52&gt;=$C52,L52&lt;=$D52,L52&lt;&gt;0),1,0)</f>
        <v>0</v>
      </c>
      <c r="W52" s="6" t="n">
        <f aca="false">IF(AND(O52&gt;=$C52,O52&lt;=$D52,O52&lt;&gt;0),1,0)</f>
        <v>0</v>
      </c>
      <c r="X52" s="6" t="n">
        <f aca="false">IF(AND(R52&gt;=$C52,R52&lt;=$D52,R52&lt;&gt;0),1,0)</f>
        <v>0</v>
      </c>
      <c r="Y52" s="6" t="n">
        <f aca="false">SUM($T52:$X52)</f>
        <v>0</v>
      </c>
      <c r="Z52" s="6" t="n">
        <f aca="false">IF($F52="n.a.",0,$F52*$T52)</f>
        <v>0</v>
      </c>
      <c r="AA52" s="6" t="n">
        <f aca="false">IF($I52="n.a.",0,$I52*$U52)</f>
        <v>0</v>
      </c>
      <c r="AB52" s="6" t="n">
        <f aca="false">IF($L52="n.a.",0,$L52*$V52)</f>
        <v>0</v>
      </c>
      <c r="AC52" s="6" t="n">
        <f aca="false">IF($O52="n.a.",0,$O52*$W52)</f>
        <v>0</v>
      </c>
      <c r="AD52" s="6" t="n">
        <f aca="false">IF($R52="n.a.",0,$R52*$X52)</f>
        <v>0</v>
      </c>
      <c r="AE52" s="28"/>
      <c r="AF52" s="6" t="n">
        <f aca="false">IF($G52="n.a.",0,$G52*$T52)</f>
        <v>0</v>
      </c>
      <c r="AG52" s="6" t="n">
        <f aca="false">IF($J52="n.a.",0,$J52*$U52)</f>
        <v>0</v>
      </c>
      <c r="AH52" s="6" t="n">
        <f aca="false">IF($M52="n.a.",0,$M52*$V52)</f>
        <v>0</v>
      </c>
      <c r="AI52" s="6" t="n">
        <f aca="false">IF($P52="n.a.",0,$P52*$W52)</f>
        <v>0</v>
      </c>
      <c r="AJ52" s="6" t="n">
        <f aca="false">IF($S52="n.a.",0,$S52*$X52)</f>
        <v>0</v>
      </c>
      <c r="AK52" s="29" t="n">
        <f aca="false">MAX($Z52:$AD52)</f>
        <v>0</v>
      </c>
      <c r="AL52" s="30" t="n">
        <f aca="false">INDEX(AF52:AJ52,1,MATCH(AK52,Z52:AD52,0))</f>
        <v>0</v>
      </c>
      <c r="AM52" s="6" t="str">
        <f aca="false">IF(IF(AND($T100=1,$T52=0),0,$AL52)=0,"",$AL52)</f>
        <v/>
      </c>
    </row>
    <row r="53" customFormat="false" ht="15" hidden="false" customHeight="false" outlineLevel="0" collapsed="false">
      <c r="A53" s="38"/>
      <c r="B53" s="2"/>
    </row>
    <row r="54" customFormat="false" ht="15" hidden="false" customHeight="false" outlineLevel="0" collapsed="false">
      <c r="A54" s="39"/>
      <c r="B54" s="2"/>
    </row>
    <row r="55" customFormat="false" ht="15" hidden="false" customHeight="false" outlineLevel="0" collapsed="false">
      <c r="A55" s="1" t="s">
        <v>76</v>
      </c>
      <c r="F55" s="10" t="s">
        <v>6</v>
      </c>
      <c r="G55" s="11"/>
      <c r="H55" s="12"/>
      <c r="I55" s="13" t="s">
        <v>7</v>
      </c>
      <c r="J55" s="11"/>
      <c r="K55" s="12"/>
      <c r="L55" s="13" t="s">
        <v>8</v>
      </c>
      <c r="M55" s="13"/>
      <c r="N55" s="12"/>
      <c r="O55" s="13" t="s">
        <v>8</v>
      </c>
      <c r="P55" s="14"/>
      <c r="Q55" s="15"/>
      <c r="R55" s="13" t="s">
        <v>8</v>
      </c>
      <c r="S55" s="16"/>
      <c r="Z55" s="17" t="s">
        <v>9</v>
      </c>
      <c r="AA55" s="17"/>
      <c r="AB55" s="17"/>
      <c r="AC55" s="17"/>
      <c r="AD55" s="17"/>
      <c r="AE55" s="18"/>
      <c r="AF55" s="17" t="s">
        <v>10</v>
      </c>
      <c r="AG55" s="17"/>
      <c r="AH55" s="17"/>
      <c r="AI55" s="17"/>
      <c r="AJ55" s="17"/>
    </row>
    <row r="56" customFormat="false" ht="15.75" hidden="false" customHeight="false" outlineLevel="0" collapsed="false">
      <c r="A56" s="4" t="s">
        <v>11</v>
      </c>
      <c r="B56" s="19" t="s">
        <v>12</v>
      </c>
      <c r="C56" s="19" t="s">
        <v>13</v>
      </c>
      <c r="D56" s="19" t="s">
        <v>14</v>
      </c>
      <c r="E56" s="15"/>
      <c r="F56" s="20" t="s">
        <v>15</v>
      </c>
      <c r="G56" s="20" t="s">
        <v>16</v>
      </c>
      <c r="H56" s="15"/>
      <c r="I56" s="21" t="s">
        <v>15</v>
      </c>
      <c r="J56" s="20" t="s">
        <v>16</v>
      </c>
      <c r="K56" s="15"/>
      <c r="L56" s="21" t="s">
        <v>15</v>
      </c>
      <c r="M56" s="21" t="s">
        <v>16</v>
      </c>
      <c r="N56" s="15"/>
      <c r="O56" s="21" t="s">
        <v>15</v>
      </c>
      <c r="P56" s="21" t="s">
        <v>16</v>
      </c>
      <c r="Q56" s="15"/>
      <c r="R56" s="21" t="s">
        <v>15</v>
      </c>
      <c r="S56" s="21" t="s">
        <v>16</v>
      </c>
      <c r="T56" s="22" t="s">
        <v>17</v>
      </c>
      <c r="U56" s="22" t="s">
        <v>18</v>
      </c>
      <c r="V56" s="22" t="s">
        <v>19</v>
      </c>
      <c r="W56" s="22" t="s">
        <v>20</v>
      </c>
      <c r="X56" s="22" t="s">
        <v>21</v>
      </c>
      <c r="Y56" s="22" t="s">
        <v>22</v>
      </c>
      <c r="Z56" s="22" t="s">
        <v>23</v>
      </c>
      <c r="AA56" s="22" t="s">
        <v>24</v>
      </c>
      <c r="AB56" s="22" t="s">
        <v>25</v>
      </c>
      <c r="AC56" s="22" t="s">
        <v>26</v>
      </c>
      <c r="AD56" s="22" t="s">
        <v>27</v>
      </c>
      <c r="AE56" s="23"/>
      <c r="AF56" s="22" t="s">
        <v>23</v>
      </c>
      <c r="AG56" s="22" t="s">
        <v>24</v>
      </c>
      <c r="AH56" s="22" t="s">
        <v>25</v>
      </c>
      <c r="AI56" s="22" t="s">
        <v>26</v>
      </c>
      <c r="AJ56" s="22" t="s">
        <v>27</v>
      </c>
      <c r="AK56" s="22" t="s">
        <v>28</v>
      </c>
      <c r="AL56" s="22" t="s">
        <v>29</v>
      </c>
      <c r="AM56" s="22" t="s">
        <v>30</v>
      </c>
    </row>
    <row r="57" customFormat="false" ht="15" hidden="false" customHeight="false" outlineLevel="0" collapsed="false">
      <c r="A57" s="24" t="s">
        <v>31</v>
      </c>
      <c r="B57" s="25" t="str">
        <f aca="false">$AM57</f>
        <v/>
      </c>
      <c r="C57" s="5" t="n">
        <v>0.1</v>
      </c>
      <c r="D57" s="5" t="n">
        <v>2</v>
      </c>
      <c r="F57" s="26" t="n">
        <v>0.00296450915831731</v>
      </c>
      <c r="G57" s="26" t="n">
        <v>0.00296450915831731</v>
      </c>
      <c r="I57" s="5" t="n">
        <v>0.00813292281330714</v>
      </c>
      <c r="J57" s="27" t="n">
        <v>0.0813292281330714</v>
      </c>
      <c r="L57" s="5"/>
      <c r="M57" s="5"/>
      <c r="O57" s="5"/>
      <c r="P57" s="5"/>
      <c r="R57" s="5"/>
      <c r="S57" s="5"/>
      <c r="T57" s="6" t="n">
        <f aca="false">IF(AND(F57&gt;=$C57,F57&lt;=$D57,F57&lt;&gt;0,F57&lt;&gt;"n.a."),1,0)</f>
        <v>0</v>
      </c>
      <c r="U57" s="6" t="n">
        <f aca="false">IF(AND(I57&gt;=$C57,I57&lt;=$D57,I57&lt;&gt;0,I57&lt;&gt;"n.a."),1,0)</f>
        <v>0</v>
      </c>
      <c r="V57" s="6" t="n">
        <f aca="false">IF(AND(L57&gt;=$C57,L57&lt;=$D57,L57&lt;&gt;0),1,0)</f>
        <v>0</v>
      </c>
      <c r="W57" s="6" t="n">
        <f aca="false">IF(AND(O57&gt;=$C57,O57&lt;=$D57,O57&lt;&gt;0),1,0)</f>
        <v>0</v>
      </c>
      <c r="X57" s="6" t="n">
        <f aca="false">IF(AND(R57&gt;=$C57,R57&lt;=$D57,R57&lt;&gt;0),1,0)</f>
        <v>0</v>
      </c>
      <c r="Y57" s="6" t="n">
        <f aca="false">SUM($T57:$X57)</f>
        <v>0</v>
      </c>
      <c r="Z57" s="6" t="n">
        <f aca="false">IF($F57="n.a.",0,$F57*$T57)</f>
        <v>0</v>
      </c>
      <c r="AA57" s="6" t="n">
        <f aca="false">IF($I57="n.a.",0,$I57*$U57)</f>
        <v>0</v>
      </c>
      <c r="AB57" s="6" t="n">
        <f aca="false">IF($L57="n.a.",0,$L57*$V57)</f>
        <v>0</v>
      </c>
      <c r="AC57" s="6" t="n">
        <f aca="false">IF($O57="n.a.",0,$O57*$W57)</f>
        <v>0</v>
      </c>
      <c r="AD57" s="6" t="n">
        <f aca="false">IF($R57="n.a.",0,$R57*$X57)</f>
        <v>0</v>
      </c>
      <c r="AE57" s="28"/>
      <c r="AF57" s="6" t="n">
        <f aca="false">IF($G57="n.a.",0,$G57*$T57)</f>
        <v>0</v>
      </c>
      <c r="AG57" s="6" t="n">
        <f aca="false">IF($J57="n.a.",0,$J57*$U57)</f>
        <v>0</v>
      </c>
      <c r="AH57" s="6" t="n">
        <f aca="false">IF($M57="n.a.",0,$M57*$V57)</f>
        <v>0</v>
      </c>
      <c r="AI57" s="6" t="n">
        <f aca="false">IF($P57="n.a.",0,$P57*$W57)</f>
        <v>0</v>
      </c>
      <c r="AJ57" s="6" t="n">
        <f aca="false">IF($S57="n.a.",0,$S57*$X57)</f>
        <v>0</v>
      </c>
      <c r="AK57" s="29" t="n">
        <f aca="false">MAX($Z57:$AD57)</f>
        <v>0</v>
      </c>
      <c r="AL57" s="30" t="n">
        <f aca="false">INDEX(AF57:AJ57,1,MATCH(AK57,Z57:AD57,0))</f>
        <v>0</v>
      </c>
      <c r="AM57" s="6" t="str">
        <f aca="false">IF($Y57=0,"",$AL57)</f>
        <v/>
      </c>
    </row>
    <row r="58" customFormat="false" ht="15" hidden="false" customHeight="false" outlineLevel="0" collapsed="false">
      <c r="A58" s="31" t="s">
        <v>33</v>
      </c>
      <c r="B58" s="32" t="str">
        <f aca="false">$AM58</f>
        <v/>
      </c>
      <c r="C58" s="5" t="n">
        <v>0.1</v>
      </c>
      <c r="D58" s="5" t="n">
        <v>2</v>
      </c>
      <c r="F58" s="26" t="n">
        <v>0.00900672948321044</v>
      </c>
      <c r="G58" s="26" t="n">
        <v>0.00900672948321044</v>
      </c>
      <c r="I58" s="5" t="n">
        <v>0.00452004468162543</v>
      </c>
      <c r="J58" s="27" t="n">
        <v>0.0452004468162543</v>
      </c>
      <c r="L58" s="5"/>
      <c r="M58" s="5"/>
      <c r="O58" s="5"/>
      <c r="P58" s="5"/>
      <c r="R58" s="5"/>
      <c r="S58" s="5"/>
      <c r="T58" s="6" t="n">
        <f aca="false">IF(AND(F58&gt;=$C58,F58&lt;=$D58,F58&lt;&gt;0,F58&lt;&gt;"n.a."),1,0)</f>
        <v>0</v>
      </c>
      <c r="U58" s="6" t="n">
        <f aca="false">IF(AND(I58&gt;=$C58,I58&lt;=$D58,I58&lt;&gt;0,I58&lt;&gt;"n.a."),1,0)</f>
        <v>0</v>
      </c>
      <c r="V58" s="6" t="n">
        <f aca="false">IF(AND(L58&gt;=$C58,L58&lt;=$D58,L58&lt;&gt;0),1,0)</f>
        <v>0</v>
      </c>
      <c r="W58" s="6" t="n">
        <f aca="false">IF(AND(O58&gt;=$C58,O58&lt;=$D58,O58&lt;&gt;0),1,0)</f>
        <v>0</v>
      </c>
      <c r="X58" s="6" t="n">
        <f aca="false">IF(AND(R58&gt;=$C58,R58&lt;=$D58,R58&lt;&gt;0),1,0)</f>
        <v>0</v>
      </c>
      <c r="Y58" s="6" t="n">
        <f aca="false">SUM($T58:$X58)</f>
        <v>0</v>
      </c>
      <c r="Z58" s="6" t="n">
        <f aca="false">IF($F58="n.a.",0,$F58*$T58)</f>
        <v>0</v>
      </c>
      <c r="AA58" s="6" t="n">
        <f aca="false">IF($I58="n.a.",0,$I58*$U58)</f>
        <v>0</v>
      </c>
      <c r="AB58" s="6" t="n">
        <f aca="false">IF($L58="n.a.",0,$L58*$V58)</f>
        <v>0</v>
      </c>
      <c r="AC58" s="6" t="n">
        <f aca="false">IF($O58="n.a.",0,$O58*$W58)</f>
        <v>0</v>
      </c>
      <c r="AD58" s="6" t="n">
        <f aca="false">IF($R58="n.a.",0,$R58*$X58)</f>
        <v>0</v>
      </c>
      <c r="AE58" s="28"/>
      <c r="AF58" s="6" t="n">
        <f aca="false">IF($G58="n.a.",0,$G58*$T58)</f>
        <v>0</v>
      </c>
      <c r="AG58" s="6" t="n">
        <f aca="false">IF($J58="n.a.",0,$J58*$U58)</f>
        <v>0</v>
      </c>
      <c r="AH58" s="6" t="n">
        <f aca="false">IF($M58="n.a.",0,$M58*$V58)</f>
        <v>0</v>
      </c>
      <c r="AI58" s="6" t="n">
        <f aca="false">IF($P58="n.a.",0,$P58*$W58)</f>
        <v>0</v>
      </c>
      <c r="AJ58" s="6" t="n">
        <f aca="false">IF($S58="n.a.",0,$S58*$X58)</f>
        <v>0</v>
      </c>
      <c r="AK58" s="29" t="n">
        <f aca="false">MAX($Z58:$AD58)</f>
        <v>0</v>
      </c>
      <c r="AL58" s="30" t="n">
        <f aca="false">INDEX(AF58:AJ58,1,MATCH(AK58,Z58:AD58,0))</f>
        <v>0</v>
      </c>
      <c r="AM58" s="6" t="str">
        <f aca="false">IF($Y58=0,"",$AL58)</f>
        <v/>
      </c>
    </row>
    <row r="59" customFormat="false" ht="15" hidden="false" customHeight="false" outlineLevel="0" collapsed="false">
      <c r="A59" s="31" t="s">
        <v>34</v>
      </c>
      <c r="B59" s="32" t="str">
        <f aca="false">$AM59</f>
        <v/>
      </c>
      <c r="C59" s="5" t="n">
        <v>0.1</v>
      </c>
      <c r="D59" s="5" t="n">
        <v>2</v>
      </c>
      <c r="F59" s="26" t="s">
        <v>32</v>
      </c>
      <c r="G59" s="26" t="s">
        <v>32</v>
      </c>
      <c r="I59" s="5"/>
      <c r="J59" s="27"/>
      <c r="L59" s="5"/>
      <c r="M59" s="5"/>
      <c r="O59" s="5"/>
      <c r="P59" s="5"/>
      <c r="R59" s="5"/>
      <c r="S59" s="5"/>
      <c r="T59" s="6" t="n">
        <f aca="false">IF(AND(F59&gt;=$C59,F59&lt;=$D59,F59&lt;&gt;0,F59&lt;&gt;"n.a."),1,0)</f>
        <v>0</v>
      </c>
      <c r="U59" s="6" t="n">
        <f aca="false">IF(AND(I59&gt;=$C59,I59&lt;=$D59,I59&lt;&gt;0,I59&lt;&gt;"n.a."),1,0)</f>
        <v>0</v>
      </c>
      <c r="V59" s="6" t="n">
        <f aca="false">IF(AND(L59&gt;=$C59,L59&lt;=$D59,L59&lt;&gt;0),1,0)</f>
        <v>0</v>
      </c>
      <c r="W59" s="6" t="n">
        <f aca="false">IF(AND(O59&gt;=$C59,O59&lt;=$D59,O59&lt;&gt;0),1,0)</f>
        <v>0</v>
      </c>
      <c r="X59" s="6" t="n">
        <f aca="false">IF(AND(R59&gt;=$C59,R59&lt;=$D59,R59&lt;&gt;0),1,0)</f>
        <v>0</v>
      </c>
      <c r="Y59" s="6" t="n">
        <f aca="false">SUM($T59:$X59)</f>
        <v>0</v>
      </c>
      <c r="Z59" s="6" t="n">
        <f aca="false">IF($F59="n.a.",0,$F59*$T59)</f>
        <v>0</v>
      </c>
      <c r="AA59" s="6" t="n">
        <f aca="false">IF($I59="n.a.",0,$I59*$U59)</f>
        <v>0</v>
      </c>
      <c r="AB59" s="6" t="n">
        <f aca="false">IF($L59="n.a.",0,$L59*$V59)</f>
        <v>0</v>
      </c>
      <c r="AC59" s="6" t="n">
        <f aca="false">IF($O59="n.a.",0,$O59*$W59)</f>
        <v>0</v>
      </c>
      <c r="AD59" s="6" t="n">
        <f aca="false">IF($R59="n.a.",0,$R59*$X59)</f>
        <v>0</v>
      </c>
      <c r="AE59" s="28"/>
      <c r="AF59" s="6" t="n">
        <f aca="false">IF($G59="n.a.",0,$G59*$T59)</f>
        <v>0</v>
      </c>
      <c r="AG59" s="6" t="n">
        <f aca="false">IF($J59="n.a.",0,$J59*$U59)</f>
        <v>0</v>
      </c>
      <c r="AH59" s="6" t="n">
        <f aca="false">IF($M59="n.a.",0,$M59*$V59)</f>
        <v>0</v>
      </c>
      <c r="AI59" s="6" t="n">
        <f aca="false">IF($P59="n.a.",0,$P59*$W59)</f>
        <v>0</v>
      </c>
      <c r="AJ59" s="6" t="n">
        <f aca="false">IF($S59="n.a.",0,$S59*$X59)</f>
        <v>0</v>
      </c>
      <c r="AK59" s="29" t="n">
        <f aca="false">MAX($Z59:$AD59)</f>
        <v>0</v>
      </c>
      <c r="AL59" s="30" t="n">
        <f aca="false">INDEX(AF59:AJ59,1,MATCH(AK59,Z59:AD59,0))</f>
        <v>0</v>
      </c>
      <c r="AM59" s="6" t="str">
        <f aca="false">IF($Y59=0,"",$AL59)</f>
        <v/>
      </c>
    </row>
    <row r="60" customFormat="false" ht="15" hidden="false" customHeight="false" outlineLevel="0" collapsed="false">
      <c r="A60" s="31" t="s">
        <v>35</v>
      </c>
      <c r="B60" s="32" t="str">
        <f aca="false">$AM60</f>
        <v/>
      </c>
      <c r="C60" s="5" t="n">
        <v>0.1</v>
      </c>
      <c r="D60" s="5" t="n">
        <v>2</v>
      </c>
      <c r="F60" s="26" t="s">
        <v>32</v>
      </c>
      <c r="G60" s="26" t="s">
        <v>32</v>
      </c>
      <c r="I60" s="5"/>
      <c r="J60" s="27"/>
      <c r="L60" s="5"/>
      <c r="M60" s="5"/>
      <c r="O60" s="5"/>
      <c r="P60" s="5"/>
      <c r="R60" s="5"/>
      <c r="S60" s="5"/>
      <c r="T60" s="6" t="n">
        <f aca="false">IF(AND(F60&gt;=$C60,F60&lt;=$D60,F60&lt;&gt;0,F60&lt;&gt;"n.a."),1,0)</f>
        <v>0</v>
      </c>
      <c r="U60" s="6" t="n">
        <f aca="false">IF(AND(I60&gt;=$C60,I60&lt;=$D60,I60&lt;&gt;0,I60&lt;&gt;"n.a."),1,0)</f>
        <v>0</v>
      </c>
      <c r="V60" s="6" t="n">
        <f aca="false">IF(AND(L60&gt;=$C60,L60&lt;=$D60,L60&lt;&gt;0),1,0)</f>
        <v>0</v>
      </c>
      <c r="W60" s="6" t="n">
        <f aca="false">IF(AND(O60&gt;=$C60,O60&lt;=$D60,O60&lt;&gt;0),1,0)</f>
        <v>0</v>
      </c>
      <c r="X60" s="6" t="n">
        <f aca="false">IF(AND(R60&gt;=$C60,R60&lt;=$D60,R60&lt;&gt;0),1,0)</f>
        <v>0</v>
      </c>
      <c r="Y60" s="6" t="n">
        <f aca="false">SUM($T60:$X60)</f>
        <v>0</v>
      </c>
      <c r="Z60" s="6" t="n">
        <f aca="false">IF($F60="n.a.",0,$F60*$T60)</f>
        <v>0</v>
      </c>
      <c r="AA60" s="6" t="n">
        <f aca="false">IF($I60="n.a.",0,$I60*$U60)</f>
        <v>0</v>
      </c>
      <c r="AB60" s="6" t="n">
        <f aca="false">IF($L60="n.a.",0,$L60*$V60)</f>
        <v>0</v>
      </c>
      <c r="AC60" s="6" t="n">
        <f aca="false">IF($O60="n.a.",0,$O60*$W60)</f>
        <v>0</v>
      </c>
      <c r="AD60" s="6" t="n">
        <f aca="false">IF($R60="n.a.",0,$R60*$X60)</f>
        <v>0</v>
      </c>
      <c r="AE60" s="28"/>
      <c r="AF60" s="6" t="n">
        <f aca="false">IF($G60="n.a.",0,$G60*$T60)</f>
        <v>0</v>
      </c>
      <c r="AG60" s="6" t="n">
        <f aca="false">IF($J60="n.a.",0,$J60*$U60)</f>
        <v>0</v>
      </c>
      <c r="AH60" s="6" t="n">
        <f aca="false">IF($M60="n.a.",0,$M60*$V60)</f>
        <v>0</v>
      </c>
      <c r="AI60" s="6" t="n">
        <f aca="false">IF($P60="n.a.",0,$P60*$W60)</f>
        <v>0</v>
      </c>
      <c r="AJ60" s="6" t="n">
        <f aca="false">IF($S60="n.a.",0,$S60*$X60)</f>
        <v>0</v>
      </c>
      <c r="AK60" s="29" t="n">
        <f aca="false">MAX($Z60:$AD60)</f>
        <v>0</v>
      </c>
      <c r="AL60" s="30" t="n">
        <f aca="false">INDEX(AF60:AJ60,1,MATCH(AK60,Z60:AD60,0))</f>
        <v>0</v>
      </c>
      <c r="AM60" s="6" t="str">
        <f aca="false">IF($Y60=0,"",$AL60)</f>
        <v/>
      </c>
    </row>
    <row r="61" customFormat="false" ht="15" hidden="false" customHeight="false" outlineLevel="0" collapsed="false">
      <c r="A61" s="31" t="s">
        <v>36</v>
      </c>
      <c r="B61" s="32" t="str">
        <f aca="false">$AM61</f>
        <v/>
      </c>
      <c r="C61" s="5" t="n">
        <v>0.1</v>
      </c>
      <c r="D61" s="5" t="n">
        <v>2</v>
      </c>
      <c r="F61" s="26" t="n">
        <v>0.00338834946443247</v>
      </c>
      <c r="G61" s="26" t="n">
        <v>0.00338834946443247</v>
      </c>
      <c r="I61" s="5"/>
      <c r="J61" s="27"/>
      <c r="L61" s="5"/>
      <c r="M61" s="5"/>
      <c r="O61" s="5"/>
      <c r="P61" s="5"/>
      <c r="R61" s="5"/>
      <c r="S61" s="5"/>
      <c r="T61" s="6" t="n">
        <f aca="false">IF(AND(F61&gt;=$C61,F61&lt;=$D61,F61&lt;&gt;0,F61&lt;&gt;"n.a."),1,0)</f>
        <v>0</v>
      </c>
      <c r="U61" s="6" t="n">
        <f aca="false">IF(AND(I61&gt;=$C61,I61&lt;=$D61,I61&lt;&gt;0,I61&lt;&gt;"n.a."),1,0)</f>
        <v>0</v>
      </c>
      <c r="V61" s="6" t="n">
        <f aca="false">IF(AND(L61&gt;=$C61,L61&lt;=$D61,L61&lt;&gt;0),1,0)</f>
        <v>0</v>
      </c>
      <c r="W61" s="6" t="n">
        <f aca="false">IF(AND(O61&gt;=$C61,O61&lt;=$D61,O61&lt;&gt;0),1,0)</f>
        <v>0</v>
      </c>
      <c r="X61" s="6" t="n">
        <f aca="false">IF(AND(R61&gt;=$C61,R61&lt;=$D61,R61&lt;&gt;0),1,0)</f>
        <v>0</v>
      </c>
      <c r="Y61" s="6" t="n">
        <f aca="false">SUM($T61:$X61)</f>
        <v>0</v>
      </c>
      <c r="Z61" s="6" t="n">
        <f aca="false">IF($F61="n.a.",0,$F61*$T61)</f>
        <v>0</v>
      </c>
      <c r="AA61" s="6" t="n">
        <f aca="false">IF($I61="n.a.",0,$I61*$U61)</f>
        <v>0</v>
      </c>
      <c r="AB61" s="6" t="n">
        <f aca="false">IF($L61="n.a.",0,$L61*$V61)</f>
        <v>0</v>
      </c>
      <c r="AC61" s="6" t="n">
        <f aca="false">IF($O61="n.a.",0,$O61*$W61)</f>
        <v>0</v>
      </c>
      <c r="AD61" s="6" t="n">
        <f aca="false">IF($R61="n.a.",0,$R61*$X61)</f>
        <v>0</v>
      </c>
      <c r="AE61" s="28"/>
      <c r="AF61" s="6" t="n">
        <f aca="false">IF($G61="n.a.",0,$G61*$T61)</f>
        <v>0</v>
      </c>
      <c r="AG61" s="6" t="n">
        <f aca="false">IF($J61="n.a.",0,$J61*$U61)</f>
        <v>0</v>
      </c>
      <c r="AH61" s="6" t="n">
        <f aca="false">IF($M61="n.a.",0,$M61*$V61)</f>
        <v>0</v>
      </c>
      <c r="AI61" s="6" t="n">
        <f aca="false">IF($P61="n.a.",0,$P61*$W61)</f>
        <v>0</v>
      </c>
      <c r="AJ61" s="6" t="n">
        <f aca="false">IF($S61="n.a.",0,$S61*$X61)</f>
        <v>0</v>
      </c>
      <c r="AK61" s="29" t="n">
        <f aca="false">MAX($Z61:$AD61)</f>
        <v>0</v>
      </c>
      <c r="AL61" s="30" t="n">
        <f aca="false">INDEX(AF61:AJ61,1,MATCH(AK61,Z61:AD61,0))</f>
        <v>0</v>
      </c>
      <c r="AM61" s="6" t="str">
        <f aca="false">IF($Y61=0,"",$AL61)</f>
        <v/>
      </c>
    </row>
    <row r="62" customFormat="false" ht="15" hidden="false" customHeight="false" outlineLevel="0" collapsed="false">
      <c r="A62" s="31" t="s">
        <v>37</v>
      </c>
      <c r="B62" s="32" t="str">
        <f aca="false">$AM62</f>
        <v/>
      </c>
      <c r="C62" s="5" t="n">
        <v>0.1</v>
      </c>
      <c r="D62" s="5" t="n">
        <v>2</v>
      </c>
      <c r="F62" s="26" t="s">
        <v>32</v>
      </c>
      <c r="G62" s="26" t="s">
        <v>32</v>
      </c>
      <c r="I62" s="5" t="n">
        <v>0.0034069639054683</v>
      </c>
      <c r="J62" s="27" t="n">
        <v>0.034069639054683</v>
      </c>
      <c r="L62" s="5"/>
      <c r="M62" s="5"/>
      <c r="O62" s="5"/>
      <c r="P62" s="5"/>
      <c r="R62" s="5"/>
      <c r="S62" s="5"/>
      <c r="T62" s="6" t="n">
        <f aca="false">IF(AND(F62&gt;=$C62,F62&lt;=$D62,F62&lt;&gt;0,F62&lt;&gt;"n.a."),1,0)</f>
        <v>0</v>
      </c>
      <c r="U62" s="6" t="n">
        <f aca="false">IF(AND(I62&gt;=$C62,I62&lt;=$D62,I62&lt;&gt;0,I62&lt;&gt;"n.a."),1,0)</f>
        <v>0</v>
      </c>
      <c r="V62" s="6" t="n">
        <f aca="false">IF(AND(L62&gt;=$C62,L62&lt;=$D62,L62&lt;&gt;0),1,0)</f>
        <v>0</v>
      </c>
      <c r="W62" s="6" t="n">
        <f aca="false">IF(AND(O62&gt;=$C62,O62&lt;=$D62,O62&lt;&gt;0),1,0)</f>
        <v>0</v>
      </c>
      <c r="X62" s="6" t="n">
        <f aca="false">IF(AND(R62&gt;=$C62,R62&lt;=$D62,R62&lt;&gt;0),1,0)</f>
        <v>0</v>
      </c>
      <c r="Y62" s="6" t="n">
        <f aca="false">SUM($T62:$X62)</f>
        <v>0</v>
      </c>
      <c r="Z62" s="6" t="n">
        <f aca="false">IF($F62="n.a.",0,$F62*$T62)</f>
        <v>0</v>
      </c>
      <c r="AA62" s="6" t="n">
        <f aca="false">IF($I62="n.a.",0,$I62*$U62)</f>
        <v>0</v>
      </c>
      <c r="AB62" s="6" t="n">
        <f aca="false">IF($L62="n.a.",0,$L62*$V62)</f>
        <v>0</v>
      </c>
      <c r="AC62" s="6" t="n">
        <f aca="false">IF($O62="n.a.",0,$O62*$W62)</f>
        <v>0</v>
      </c>
      <c r="AD62" s="6" t="n">
        <f aca="false">IF($R62="n.a.",0,$R62*$X62)</f>
        <v>0</v>
      </c>
      <c r="AE62" s="28"/>
      <c r="AF62" s="6" t="n">
        <f aca="false">IF($G62="n.a.",0,$G62*$T62)</f>
        <v>0</v>
      </c>
      <c r="AG62" s="6" t="n">
        <f aca="false">IF($J62="n.a.",0,$J62*$U62)</f>
        <v>0</v>
      </c>
      <c r="AH62" s="6" t="n">
        <f aca="false">IF($M62="n.a.",0,$M62*$V62)</f>
        <v>0</v>
      </c>
      <c r="AI62" s="6" t="n">
        <f aca="false">IF($P62="n.a.",0,$P62*$W62)</f>
        <v>0</v>
      </c>
      <c r="AJ62" s="6" t="n">
        <f aca="false">IF($S62="n.a.",0,$S62*$X62)</f>
        <v>0</v>
      </c>
      <c r="AK62" s="29" t="n">
        <f aca="false">MAX($Z62:$AD62)</f>
        <v>0</v>
      </c>
      <c r="AL62" s="30" t="n">
        <f aca="false">INDEX(AF62:AJ62,1,MATCH(AK62,Z62:AD62,0))</f>
        <v>0</v>
      </c>
      <c r="AM62" s="6" t="str">
        <f aca="false">IF($Y62=0,"",$AL62)</f>
        <v/>
      </c>
    </row>
    <row r="63" customFormat="false" ht="15" hidden="false" customHeight="false" outlineLevel="0" collapsed="false">
      <c r="A63" s="31" t="s">
        <v>38</v>
      </c>
      <c r="B63" s="32" t="str">
        <f aca="false">$AM63</f>
        <v/>
      </c>
      <c r="C63" s="5" t="n">
        <v>0.1</v>
      </c>
      <c r="D63" s="5" t="n">
        <v>2</v>
      </c>
      <c r="F63" s="26" t="s">
        <v>32</v>
      </c>
      <c r="G63" s="26" t="s">
        <v>32</v>
      </c>
      <c r="I63" s="5"/>
      <c r="J63" s="27"/>
      <c r="L63" s="5"/>
      <c r="M63" s="5"/>
      <c r="O63" s="5"/>
      <c r="P63" s="5"/>
      <c r="R63" s="5"/>
      <c r="S63" s="5"/>
      <c r="T63" s="6" t="n">
        <f aca="false">IF(AND(F63&gt;=$C63,F63&lt;=$D63,F63&lt;&gt;0,F63&lt;&gt;"n.a."),1,0)</f>
        <v>0</v>
      </c>
      <c r="U63" s="6" t="n">
        <f aca="false">IF(AND(I63&gt;=$C63,I63&lt;=$D63,I63&lt;&gt;0,I63&lt;&gt;"n.a."),1,0)</f>
        <v>0</v>
      </c>
      <c r="V63" s="6" t="n">
        <f aca="false">IF(AND(L63&gt;=$C63,L63&lt;=$D63,L63&lt;&gt;0),1,0)</f>
        <v>0</v>
      </c>
      <c r="W63" s="6" t="n">
        <f aca="false">IF(AND(O63&gt;=$C63,O63&lt;=$D63,O63&lt;&gt;0),1,0)</f>
        <v>0</v>
      </c>
      <c r="X63" s="6" t="n">
        <f aca="false">IF(AND(R63&gt;=$C63,R63&lt;=$D63,R63&lt;&gt;0),1,0)</f>
        <v>0</v>
      </c>
      <c r="Y63" s="6" t="n">
        <f aca="false">SUM($T63:$X63)</f>
        <v>0</v>
      </c>
      <c r="Z63" s="6" t="n">
        <f aca="false">IF($F63="n.a.",0,$F63*$T63)</f>
        <v>0</v>
      </c>
      <c r="AA63" s="6" t="n">
        <f aca="false">IF($I63="n.a.",0,$I63*$U63)</f>
        <v>0</v>
      </c>
      <c r="AB63" s="6" t="n">
        <f aca="false">IF($L63="n.a.",0,$L63*$V63)</f>
        <v>0</v>
      </c>
      <c r="AC63" s="6" t="n">
        <f aca="false">IF($O63="n.a.",0,$O63*$W63)</f>
        <v>0</v>
      </c>
      <c r="AD63" s="6" t="n">
        <f aca="false">IF($R63="n.a.",0,$R63*$X63)</f>
        <v>0</v>
      </c>
      <c r="AE63" s="28"/>
      <c r="AF63" s="6" t="n">
        <f aca="false">IF($G63="n.a.",0,$G63*$T63)</f>
        <v>0</v>
      </c>
      <c r="AG63" s="6" t="n">
        <f aca="false">IF($J63="n.a.",0,$J63*$U63)</f>
        <v>0</v>
      </c>
      <c r="AH63" s="6" t="n">
        <f aca="false">IF($M63="n.a.",0,$M63*$V63)</f>
        <v>0</v>
      </c>
      <c r="AI63" s="6" t="n">
        <f aca="false">IF($P63="n.a.",0,$P63*$W63)</f>
        <v>0</v>
      </c>
      <c r="AJ63" s="6" t="n">
        <f aca="false">IF($S63="n.a.",0,$S63*$X63)</f>
        <v>0</v>
      </c>
      <c r="AK63" s="29" t="n">
        <f aca="false">MAX($Z63:$AD63)</f>
        <v>0</v>
      </c>
      <c r="AL63" s="30" t="n">
        <f aca="false">INDEX(AF63:AJ63,1,MATCH(AK63,Z63:AD63,0))</f>
        <v>0</v>
      </c>
      <c r="AM63" s="6" t="str">
        <f aca="false">IF($Y63=0,"",$AL63)</f>
        <v/>
      </c>
    </row>
    <row r="64" customFormat="false" ht="15" hidden="false" customHeight="false" outlineLevel="0" collapsed="false">
      <c r="A64" s="31" t="s">
        <v>39</v>
      </c>
      <c r="B64" s="32" t="str">
        <f aca="false">$AM64</f>
        <v/>
      </c>
      <c r="C64" s="5" t="n">
        <v>0.1</v>
      </c>
      <c r="D64" s="5" t="n">
        <v>2</v>
      </c>
      <c r="F64" s="26" t="s">
        <v>32</v>
      </c>
      <c r="G64" s="26" t="s">
        <v>32</v>
      </c>
      <c r="I64" s="5"/>
      <c r="J64" s="27"/>
      <c r="L64" s="5"/>
      <c r="M64" s="5"/>
      <c r="O64" s="5"/>
      <c r="P64" s="5"/>
      <c r="R64" s="5"/>
      <c r="S64" s="5"/>
      <c r="T64" s="6" t="n">
        <f aca="false">IF(AND(F64&gt;=$C64,F64&lt;=$D64,F64&lt;&gt;0,F64&lt;&gt;"n.a."),1,0)</f>
        <v>0</v>
      </c>
      <c r="U64" s="6" t="n">
        <f aca="false">IF(AND(I64&gt;=$C64,I64&lt;=$D64,I64&lt;&gt;0,I64&lt;&gt;"n.a."),1,0)</f>
        <v>0</v>
      </c>
      <c r="V64" s="6" t="n">
        <f aca="false">IF(AND(L64&gt;=$C64,L64&lt;=$D64,L64&lt;&gt;0),1,0)</f>
        <v>0</v>
      </c>
      <c r="W64" s="6" t="n">
        <f aca="false">IF(AND(O64&gt;=$C64,O64&lt;=$D64,O64&lt;&gt;0),1,0)</f>
        <v>0</v>
      </c>
      <c r="X64" s="6" t="n">
        <f aca="false">IF(AND(R64&gt;=$C64,R64&lt;=$D64,R64&lt;&gt;0),1,0)</f>
        <v>0</v>
      </c>
      <c r="Y64" s="6" t="n">
        <f aca="false">SUM($T64:$X64)</f>
        <v>0</v>
      </c>
      <c r="Z64" s="6" t="n">
        <f aca="false">IF($F64="n.a.",0,$F64*$T64)</f>
        <v>0</v>
      </c>
      <c r="AA64" s="6" t="n">
        <f aca="false">IF($I64="n.a.",0,$I64*$U64)</f>
        <v>0</v>
      </c>
      <c r="AB64" s="6" t="n">
        <f aca="false">IF($L64="n.a.",0,$L64*$V64)</f>
        <v>0</v>
      </c>
      <c r="AC64" s="6" t="n">
        <f aca="false">IF($O64="n.a.",0,$O64*$W64)</f>
        <v>0</v>
      </c>
      <c r="AD64" s="6" t="n">
        <f aca="false">IF($R64="n.a.",0,$R64*$X64)</f>
        <v>0</v>
      </c>
      <c r="AE64" s="28"/>
      <c r="AF64" s="6" t="n">
        <f aca="false">IF($G64="n.a.",0,$G64*$T64)</f>
        <v>0</v>
      </c>
      <c r="AG64" s="6" t="n">
        <f aca="false">IF($J64="n.a.",0,$J64*$U64)</f>
        <v>0</v>
      </c>
      <c r="AH64" s="6" t="n">
        <f aca="false">IF($M64="n.a.",0,$M64*$V64)</f>
        <v>0</v>
      </c>
      <c r="AI64" s="6" t="n">
        <f aca="false">IF($P64="n.a.",0,$P64*$W64)</f>
        <v>0</v>
      </c>
      <c r="AJ64" s="6" t="n">
        <f aca="false">IF($S64="n.a.",0,$S64*$X64)</f>
        <v>0</v>
      </c>
      <c r="AK64" s="29" t="n">
        <f aca="false">MAX($Z64:$AD64)</f>
        <v>0</v>
      </c>
      <c r="AL64" s="30" t="n">
        <f aca="false">INDEX(AF64:AJ64,1,MATCH(AK64,Z64:AD64,0))</f>
        <v>0</v>
      </c>
      <c r="AM64" s="6" t="str">
        <f aca="false">IF($Y64=0,"",$AL64)</f>
        <v/>
      </c>
    </row>
    <row r="65" customFormat="false" ht="15" hidden="false" customHeight="false" outlineLevel="0" collapsed="false">
      <c r="A65" s="31" t="s">
        <v>40</v>
      </c>
      <c r="B65" s="32" t="str">
        <f aca="false">$AM65</f>
        <v/>
      </c>
      <c r="C65" s="5" t="n">
        <v>0.1</v>
      </c>
      <c r="D65" s="5" t="n">
        <v>2</v>
      </c>
      <c r="F65" s="26" t="s">
        <v>32</v>
      </c>
      <c r="G65" s="26" t="s">
        <v>32</v>
      </c>
      <c r="I65" s="5"/>
      <c r="J65" s="27"/>
      <c r="L65" s="5"/>
      <c r="M65" s="5"/>
      <c r="O65" s="5"/>
      <c r="P65" s="5"/>
      <c r="R65" s="5"/>
      <c r="S65" s="5"/>
      <c r="T65" s="6" t="n">
        <f aca="false">IF(AND(F65&gt;=$C65,F65&lt;=$D65,F65&lt;&gt;0,F65&lt;&gt;"n.a."),1,0)</f>
        <v>0</v>
      </c>
      <c r="U65" s="6" t="n">
        <f aca="false">IF(AND(I65&gt;=$C65,I65&lt;=$D65,I65&lt;&gt;0,I65&lt;&gt;"n.a."),1,0)</f>
        <v>0</v>
      </c>
      <c r="V65" s="6" t="n">
        <f aca="false">IF(AND(L65&gt;=$C65,L65&lt;=$D65,L65&lt;&gt;0),1,0)</f>
        <v>0</v>
      </c>
      <c r="W65" s="6" t="n">
        <f aca="false">IF(AND(O65&gt;=$C65,O65&lt;=$D65,O65&lt;&gt;0),1,0)</f>
        <v>0</v>
      </c>
      <c r="X65" s="6" t="n">
        <f aca="false">IF(AND(R65&gt;=$C65,R65&lt;=$D65,R65&lt;&gt;0),1,0)</f>
        <v>0</v>
      </c>
      <c r="Y65" s="6" t="n">
        <f aca="false">SUM($T65:$X65)</f>
        <v>0</v>
      </c>
      <c r="Z65" s="6" t="n">
        <f aca="false">IF($F65="n.a.",0,$F65*$T65)</f>
        <v>0</v>
      </c>
      <c r="AA65" s="6" t="n">
        <f aca="false">IF($I65="n.a.",0,$I65*$U65)</f>
        <v>0</v>
      </c>
      <c r="AB65" s="6" t="n">
        <f aca="false">IF($L65="n.a.",0,$L65*$V65)</f>
        <v>0</v>
      </c>
      <c r="AC65" s="6" t="n">
        <f aca="false">IF($O65="n.a.",0,$O65*$W65)</f>
        <v>0</v>
      </c>
      <c r="AD65" s="6" t="n">
        <f aca="false">IF($R65="n.a.",0,$R65*$X65)</f>
        <v>0</v>
      </c>
      <c r="AE65" s="28"/>
      <c r="AF65" s="6" t="n">
        <f aca="false">IF($G65="n.a.",0,$G65*$T65)</f>
        <v>0</v>
      </c>
      <c r="AG65" s="6" t="n">
        <f aca="false">IF($J65="n.a.",0,$J65*$U65)</f>
        <v>0</v>
      </c>
      <c r="AH65" s="6" t="n">
        <f aca="false">IF($M65="n.a.",0,$M65*$V65)</f>
        <v>0</v>
      </c>
      <c r="AI65" s="6" t="n">
        <f aca="false">IF($P65="n.a.",0,$P65*$W65)</f>
        <v>0</v>
      </c>
      <c r="AJ65" s="6" t="n">
        <f aca="false">IF($S65="n.a.",0,$S65*$X65)</f>
        <v>0</v>
      </c>
      <c r="AK65" s="29" t="n">
        <f aca="false">MAX($Z65:$AD65)</f>
        <v>0</v>
      </c>
      <c r="AL65" s="30" t="n">
        <f aca="false">INDEX(AF65:AJ65,1,MATCH(AK65,Z65:AD65,0))</f>
        <v>0</v>
      </c>
      <c r="AM65" s="6" t="str">
        <f aca="false">IF($Y65=0,"",$AL65)</f>
        <v/>
      </c>
    </row>
    <row r="66" customFormat="false" ht="15" hidden="false" customHeight="false" outlineLevel="0" collapsed="false">
      <c r="A66" s="31" t="s">
        <v>41</v>
      </c>
      <c r="B66" s="32" t="str">
        <f aca="false">$AM66</f>
        <v/>
      </c>
      <c r="C66" s="5" t="n">
        <v>0.1</v>
      </c>
      <c r="D66" s="5" t="n">
        <v>2</v>
      </c>
      <c r="F66" s="26" t="n">
        <v>0.00686660120072566</v>
      </c>
      <c r="G66" s="26" t="n">
        <v>0.00686660120072566</v>
      </c>
      <c r="I66" s="5" t="n">
        <v>0.00686530443555646</v>
      </c>
      <c r="J66" s="27" t="n">
        <v>0.0686530443555646</v>
      </c>
      <c r="L66" s="5"/>
      <c r="M66" s="5"/>
      <c r="O66" s="5"/>
      <c r="P66" s="5"/>
      <c r="R66" s="5"/>
      <c r="S66" s="5"/>
      <c r="T66" s="6" t="n">
        <f aca="false">IF(AND(F66&gt;=$C66,F66&lt;=$D66,F66&lt;&gt;0,F66&lt;&gt;"n.a."),1,0)</f>
        <v>0</v>
      </c>
      <c r="U66" s="6" t="n">
        <f aca="false">IF(AND(I66&gt;=$C66,I66&lt;=$D66,I66&lt;&gt;0,I66&lt;&gt;"n.a."),1,0)</f>
        <v>0</v>
      </c>
      <c r="V66" s="6" t="n">
        <f aca="false">IF(AND(L66&gt;=$C66,L66&lt;=$D66,L66&lt;&gt;0),1,0)</f>
        <v>0</v>
      </c>
      <c r="W66" s="6" t="n">
        <f aca="false">IF(AND(O66&gt;=$C66,O66&lt;=$D66,O66&lt;&gt;0),1,0)</f>
        <v>0</v>
      </c>
      <c r="X66" s="6" t="n">
        <f aca="false">IF(AND(R66&gt;=$C66,R66&lt;=$D66,R66&lt;&gt;0),1,0)</f>
        <v>0</v>
      </c>
      <c r="Y66" s="6" t="n">
        <f aca="false">SUM($T66:$X66)</f>
        <v>0</v>
      </c>
      <c r="Z66" s="6" t="n">
        <f aca="false">IF($F66="n.a.",0,$F66*$T66)</f>
        <v>0</v>
      </c>
      <c r="AA66" s="6" t="n">
        <f aca="false">IF($I66="n.a.",0,$I66*$U66)</f>
        <v>0</v>
      </c>
      <c r="AB66" s="6" t="n">
        <f aca="false">IF($L66="n.a.",0,$L66*$V66)</f>
        <v>0</v>
      </c>
      <c r="AC66" s="6" t="n">
        <f aca="false">IF($O66="n.a.",0,$O66*$W66)</f>
        <v>0</v>
      </c>
      <c r="AD66" s="6" t="n">
        <f aca="false">IF($R66="n.a.",0,$R66*$X66)</f>
        <v>0</v>
      </c>
      <c r="AE66" s="28"/>
      <c r="AF66" s="6" t="n">
        <f aca="false">IF($G66="n.a.",0,$G66*$T66)</f>
        <v>0</v>
      </c>
      <c r="AG66" s="6" t="n">
        <f aca="false">IF($J66="n.a.",0,$J66*$U66)</f>
        <v>0</v>
      </c>
      <c r="AH66" s="6" t="n">
        <f aca="false">IF($M66="n.a.",0,$M66*$V66)</f>
        <v>0</v>
      </c>
      <c r="AI66" s="6" t="n">
        <f aca="false">IF($P66="n.a.",0,$P66*$W66)</f>
        <v>0</v>
      </c>
      <c r="AJ66" s="6" t="n">
        <f aca="false">IF($S66="n.a.",0,$S66*$X66)</f>
        <v>0</v>
      </c>
      <c r="AK66" s="29" t="n">
        <f aca="false">MAX($Z66:$AD66)</f>
        <v>0</v>
      </c>
      <c r="AL66" s="30" t="n">
        <f aca="false">INDEX(AF66:AJ66,1,MATCH(AK66,Z66:AD66,0))</f>
        <v>0</v>
      </c>
      <c r="AM66" s="6" t="str">
        <f aca="false">IF($Y66=0,"",$AL66)</f>
        <v/>
      </c>
    </row>
    <row r="67" customFormat="false" ht="15" hidden="false" customHeight="false" outlineLevel="0" collapsed="false">
      <c r="A67" s="31" t="s">
        <v>42</v>
      </c>
      <c r="B67" s="32" t="n">
        <f aca="false">$AM67</f>
        <v>10.8237261574025</v>
      </c>
      <c r="C67" s="5" t="n">
        <v>0.1</v>
      </c>
      <c r="D67" s="5" t="n">
        <v>2</v>
      </c>
      <c r="F67" s="26" t="n">
        <v>11.3669765209438</v>
      </c>
      <c r="G67" s="26" t="n">
        <v>11.3669765209438</v>
      </c>
      <c r="I67" s="5" t="n">
        <v>1.08237261574025</v>
      </c>
      <c r="J67" s="27" t="n">
        <v>10.8237261574025</v>
      </c>
      <c r="L67" s="5"/>
      <c r="M67" s="5"/>
      <c r="O67" s="5"/>
      <c r="P67" s="5"/>
      <c r="R67" s="5"/>
      <c r="S67" s="5"/>
      <c r="T67" s="6" t="n">
        <f aca="false">IF(AND(F67&gt;=$C67,F67&lt;=$D67,F67&lt;&gt;0,F67&lt;&gt;"n.a."),1,0)</f>
        <v>0</v>
      </c>
      <c r="U67" s="6" t="n">
        <f aca="false">IF(AND(I67&gt;=$C67,I67&lt;=$D67,I67&lt;&gt;0,I67&lt;&gt;"n.a."),1,0)</f>
        <v>1</v>
      </c>
      <c r="V67" s="6" t="n">
        <f aca="false">IF(AND(L67&gt;=$C67,L67&lt;=$D67,L67&lt;&gt;0),1,0)</f>
        <v>0</v>
      </c>
      <c r="W67" s="6" t="n">
        <f aca="false">IF(AND(O67&gt;=$C67,O67&lt;=$D67,O67&lt;&gt;0),1,0)</f>
        <v>0</v>
      </c>
      <c r="X67" s="6" t="n">
        <f aca="false">IF(AND(R67&gt;=$C67,R67&lt;=$D67,R67&lt;&gt;0),1,0)</f>
        <v>0</v>
      </c>
      <c r="Y67" s="6" t="n">
        <f aca="false">SUM($T67:$X67)</f>
        <v>1</v>
      </c>
      <c r="Z67" s="6" t="n">
        <f aca="false">IF($F67="n.a.",0,$F67*$T67)</f>
        <v>0</v>
      </c>
      <c r="AA67" s="6" t="n">
        <f aca="false">IF($I67="n.a.",0,$I67*$U67)</f>
        <v>1.08237261574025</v>
      </c>
      <c r="AB67" s="6" t="n">
        <f aca="false">IF($L67="n.a.",0,$L67*$V67)</f>
        <v>0</v>
      </c>
      <c r="AC67" s="6" t="n">
        <f aca="false">IF($O67="n.a.",0,$O67*$W67)</f>
        <v>0</v>
      </c>
      <c r="AD67" s="6" t="n">
        <f aca="false">IF($R67="n.a.",0,$R67*$X67)</f>
        <v>0</v>
      </c>
      <c r="AE67" s="28"/>
      <c r="AF67" s="6" t="n">
        <f aca="false">IF($G67="n.a.",0,$G67*$T67)</f>
        <v>0</v>
      </c>
      <c r="AG67" s="6" t="n">
        <f aca="false">IF($J67="n.a.",0,$J67*$U67)</f>
        <v>10.8237261574025</v>
      </c>
      <c r="AH67" s="6" t="n">
        <f aca="false">IF($M67="n.a.",0,$M67*$V67)</f>
        <v>0</v>
      </c>
      <c r="AI67" s="6" t="n">
        <f aca="false">IF($P67="n.a.",0,$P67*$W67)</f>
        <v>0</v>
      </c>
      <c r="AJ67" s="6" t="n">
        <f aca="false">IF($S67="n.a.",0,$S67*$X67)</f>
        <v>0</v>
      </c>
      <c r="AK67" s="29" t="n">
        <f aca="false">MAX($Z67:$AD67)</f>
        <v>1.08237261574025</v>
      </c>
      <c r="AL67" s="30" t="n">
        <f aca="false">INDEX(AF67:AJ67,1,MATCH(AK67,Z67:AD67,0))</f>
        <v>10.8237261574025</v>
      </c>
      <c r="AM67" s="30" t="n">
        <f aca="false">IF($Y67=0,"",$AL67)</f>
        <v>10.8237261574025</v>
      </c>
    </row>
    <row r="68" customFormat="false" ht="15" hidden="false" customHeight="false" outlineLevel="0" collapsed="false">
      <c r="A68" s="31" t="s">
        <v>43</v>
      </c>
      <c r="B68" s="32" t="str">
        <f aca="false">$AM68</f>
        <v/>
      </c>
      <c r="C68" s="5" t="n">
        <v>0.1</v>
      </c>
      <c r="D68" s="5" t="n">
        <v>2</v>
      </c>
      <c r="F68" s="26" t="n">
        <v>0.0155195253144609</v>
      </c>
      <c r="G68" s="26" t="n">
        <v>0.0155195253144609</v>
      </c>
      <c r="I68" s="5" t="n">
        <v>0.015548217732527</v>
      </c>
      <c r="J68" s="27" t="n">
        <v>0.15548217732527</v>
      </c>
      <c r="L68" s="5"/>
      <c r="M68" s="5"/>
      <c r="O68" s="5"/>
      <c r="P68" s="5"/>
      <c r="R68" s="5"/>
      <c r="S68" s="5"/>
      <c r="T68" s="6" t="n">
        <f aca="false">IF(AND(F68&gt;=$C68,F68&lt;=$D68,F68&lt;&gt;0,F68&lt;&gt;"n.a."),1,0)</f>
        <v>0</v>
      </c>
      <c r="U68" s="6" t="n">
        <f aca="false">IF(AND(I68&gt;=$C68,I68&lt;=$D68,I68&lt;&gt;0,I68&lt;&gt;"n.a."),1,0)</f>
        <v>0</v>
      </c>
      <c r="V68" s="6" t="n">
        <f aca="false">IF(AND(L68&gt;=$C68,L68&lt;=$D68,L68&lt;&gt;0),1,0)</f>
        <v>0</v>
      </c>
      <c r="W68" s="6" t="n">
        <f aca="false">IF(AND(O68&gt;=$C68,O68&lt;=$D68,O68&lt;&gt;0),1,0)</f>
        <v>0</v>
      </c>
      <c r="X68" s="6" t="n">
        <f aca="false">IF(AND(R68&gt;=$C68,R68&lt;=$D68,R68&lt;&gt;0),1,0)</f>
        <v>0</v>
      </c>
      <c r="Y68" s="6" t="n">
        <f aca="false">SUM($T68:$X68)</f>
        <v>0</v>
      </c>
      <c r="Z68" s="6" t="n">
        <f aca="false">IF($F68="n.a.",0,$F68*$T68)</f>
        <v>0</v>
      </c>
      <c r="AA68" s="6" t="n">
        <f aca="false">IF($I68="n.a.",0,$I68*$U68)</f>
        <v>0</v>
      </c>
      <c r="AB68" s="6" t="n">
        <f aca="false">IF($L68="n.a.",0,$L68*$V68)</f>
        <v>0</v>
      </c>
      <c r="AC68" s="6" t="n">
        <f aca="false">IF($O68="n.a.",0,$O68*$W68)</f>
        <v>0</v>
      </c>
      <c r="AD68" s="6" t="n">
        <f aca="false">IF($R68="n.a.",0,$R68*$X68)</f>
        <v>0</v>
      </c>
      <c r="AE68" s="28"/>
      <c r="AF68" s="6" t="n">
        <f aca="false">IF($G68="n.a.",0,$G68*$T68)</f>
        <v>0</v>
      </c>
      <c r="AG68" s="6" t="n">
        <f aca="false">IF($J68="n.a.",0,$J68*$U68)</f>
        <v>0</v>
      </c>
      <c r="AH68" s="6" t="n">
        <f aca="false">IF($M68="n.a.",0,$M68*$V68)</f>
        <v>0</v>
      </c>
      <c r="AI68" s="6" t="n">
        <f aca="false">IF($P68="n.a.",0,$P68*$W68)</f>
        <v>0</v>
      </c>
      <c r="AJ68" s="6" t="n">
        <f aca="false">IF($S68="n.a.",0,$S68*$X68)</f>
        <v>0</v>
      </c>
      <c r="AK68" s="29" t="n">
        <f aca="false">MAX($Z68:$AD68)</f>
        <v>0</v>
      </c>
      <c r="AL68" s="30" t="n">
        <f aca="false">INDEX(AF68:AJ68,1,MATCH(AK68,Z68:AD68,0))</f>
        <v>0</v>
      </c>
      <c r="AM68" s="6" t="str">
        <f aca="false">IF($Y68=0,"",$AL68)</f>
        <v/>
      </c>
    </row>
    <row r="69" customFormat="false" ht="15" hidden="false" customHeight="false" outlineLevel="0" collapsed="false">
      <c r="A69" s="31" t="s">
        <v>44</v>
      </c>
      <c r="B69" s="32" t="str">
        <f aca="false">$AM69</f>
        <v/>
      </c>
      <c r="C69" s="5" t="n">
        <v>0.1</v>
      </c>
      <c r="D69" s="5" t="n">
        <v>2</v>
      </c>
      <c r="F69" s="26" t="n">
        <v>0.02501065486875</v>
      </c>
      <c r="G69" s="26" t="n">
        <v>0.02501065486875</v>
      </c>
      <c r="I69" s="5" t="n">
        <v>0.0243026061474005</v>
      </c>
      <c r="J69" s="27" t="n">
        <v>0.243026061474005</v>
      </c>
      <c r="L69" s="5"/>
      <c r="M69" s="5"/>
      <c r="O69" s="5"/>
      <c r="P69" s="5"/>
      <c r="R69" s="5"/>
      <c r="S69" s="5"/>
      <c r="T69" s="6" t="n">
        <f aca="false">IF(AND(F69&gt;=$C69,F69&lt;=$D69,F69&lt;&gt;0,F69&lt;&gt;"n.a."),1,0)</f>
        <v>0</v>
      </c>
      <c r="U69" s="6" t="n">
        <f aca="false">IF(AND(I69&gt;=$C69,I69&lt;=$D69,I69&lt;&gt;0,I69&lt;&gt;"n.a."),1,0)</f>
        <v>0</v>
      </c>
      <c r="V69" s="6" t="n">
        <f aca="false">IF(AND(L69&gt;=$C69,L69&lt;=$D69,L69&lt;&gt;0),1,0)</f>
        <v>0</v>
      </c>
      <c r="W69" s="6" t="n">
        <f aca="false">IF(AND(O69&gt;=$C69,O69&lt;=$D69,O69&lt;&gt;0),1,0)</f>
        <v>0</v>
      </c>
      <c r="X69" s="6" t="n">
        <f aca="false">IF(AND(R69&gt;=$C69,R69&lt;=$D69,R69&lt;&gt;0),1,0)</f>
        <v>0</v>
      </c>
      <c r="Y69" s="6" t="n">
        <f aca="false">SUM($T69:$X69)</f>
        <v>0</v>
      </c>
      <c r="Z69" s="6" t="n">
        <f aca="false">IF($F69="n.a.",0,$F69*$T69)</f>
        <v>0</v>
      </c>
      <c r="AA69" s="6" t="n">
        <f aca="false">IF($I69="n.a.",0,$I69*$U69)</f>
        <v>0</v>
      </c>
      <c r="AB69" s="6" t="n">
        <f aca="false">IF($L69="n.a.",0,$L69*$V69)</f>
        <v>0</v>
      </c>
      <c r="AC69" s="6" t="n">
        <f aca="false">IF($O69="n.a.",0,$O69*$W69)</f>
        <v>0</v>
      </c>
      <c r="AD69" s="6" t="n">
        <f aca="false">IF($R69="n.a.",0,$R69*$X69)</f>
        <v>0</v>
      </c>
      <c r="AE69" s="28"/>
      <c r="AF69" s="6" t="n">
        <f aca="false">IF($G69="n.a.",0,$G69*$T69)</f>
        <v>0</v>
      </c>
      <c r="AG69" s="6" t="n">
        <f aca="false">IF($J69="n.a.",0,$J69*$U69)</f>
        <v>0</v>
      </c>
      <c r="AH69" s="6" t="n">
        <f aca="false">IF($M69="n.a.",0,$M69*$V69)</f>
        <v>0</v>
      </c>
      <c r="AI69" s="6" t="n">
        <f aca="false">IF($P69="n.a.",0,$P69*$W69)</f>
        <v>0</v>
      </c>
      <c r="AJ69" s="6" t="n">
        <f aca="false">IF($S69="n.a.",0,$S69*$X69)</f>
        <v>0</v>
      </c>
      <c r="AK69" s="29" t="n">
        <f aca="false">MAX($Z69:$AD69)</f>
        <v>0</v>
      </c>
      <c r="AL69" s="30" t="n">
        <f aca="false">INDEX(AF69:AJ69,1,MATCH(AK69,Z69:AD69,0))</f>
        <v>0</v>
      </c>
      <c r="AM69" s="6" t="str">
        <f aca="false">IF($Y69=0,"",$AL69)</f>
        <v/>
      </c>
    </row>
    <row r="70" customFormat="false" ht="15" hidden="false" customHeight="false" outlineLevel="0" collapsed="false">
      <c r="A70" s="31" t="s">
        <v>45</v>
      </c>
      <c r="B70" s="32" t="str">
        <f aca="false">$AM70</f>
        <v/>
      </c>
      <c r="C70" s="5" t="n">
        <v>0.1</v>
      </c>
      <c r="D70" s="5" t="n">
        <v>2</v>
      </c>
      <c r="F70" s="26" t="n">
        <v>0.0107599709420791</v>
      </c>
      <c r="G70" s="26" t="n">
        <v>0.0107599709420791</v>
      </c>
      <c r="I70" s="5" t="n">
        <v>0.0106740731072278</v>
      </c>
      <c r="J70" s="27" t="n">
        <v>0.106740731072278</v>
      </c>
      <c r="L70" s="5"/>
      <c r="M70" s="5"/>
      <c r="O70" s="5"/>
      <c r="P70" s="5"/>
      <c r="R70" s="5"/>
      <c r="S70" s="5"/>
      <c r="T70" s="6" t="n">
        <f aca="false">IF(AND(F70&gt;=$C70,F70&lt;=$D70,F70&lt;&gt;0,F70&lt;&gt;"n.a."),1,0)</f>
        <v>0</v>
      </c>
      <c r="U70" s="6" t="n">
        <f aca="false">IF(AND(I70&gt;=$C70,I70&lt;=$D70,I70&lt;&gt;0,I70&lt;&gt;"n.a."),1,0)</f>
        <v>0</v>
      </c>
      <c r="V70" s="6" t="n">
        <f aca="false">IF(AND(L70&gt;=$C70,L70&lt;=$D70,L70&lt;&gt;0),1,0)</f>
        <v>0</v>
      </c>
      <c r="W70" s="6" t="n">
        <f aca="false">IF(AND(O70&gt;=$C70,O70&lt;=$D70,O70&lt;&gt;0),1,0)</f>
        <v>0</v>
      </c>
      <c r="X70" s="6" t="n">
        <f aca="false">IF(AND(R70&gt;=$C70,R70&lt;=$D70,R70&lt;&gt;0),1,0)</f>
        <v>0</v>
      </c>
      <c r="Y70" s="6" t="n">
        <f aca="false">SUM($T70:$X70)</f>
        <v>0</v>
      </c>
      <c r="Z70" s="6" t="n">
        <f aca="false">IF($F70="n.a.",0,$F70*$T70)</f>
        <v>0</v>
      </c>
      <c r="AA70" s="6" t="n">
        <f aca="false">IF($I70="n.a.",0,$I70*$U70)</f>
        <v>0</v>
      </c>
      <c r="AB70" s="6" t="n">
        <f aca="false">IF($L70="n.a.",0,$L70*$V70)</f>
        <v>0</v>
      </c>
      <c r="AC70" s="6" t="n">
        <f aca="false">IF($O70="n.a.",0,$O70*$W70)</f>
        <v>0</v>
      </c>
      <c r="AD70" s="6" t="n">
        <f aca="false">IF($R70="n.a.",0,$R70*$X70)</f>
        <v>0</v>
      </c>
      <c r="AE70" s="28"/>
      <c r="AF70" s="6" t="n">
        <f aca="false">IF($G70="n.a.",0,$G70*$T70)</f>
        <v>0</v>
      </c>
      <c r="AG70" s="6" t="n">
        <f aca="false">IF($J70="n.a.",0,$J70*$U70)</f>
        <v>0</v>
      </c>
      <c r="AH70" s="6" t="n">
        <f aca="false">IF($M70="n.a.",0,$M70*$V70)</f>
        <v>0</v>
      </c>
      <c r="AI70" s="6" t="n">
        <f aca="false">IF($P70="n.a.",0,$P70*$W70)</f>
        <v>0</v>
      </c>
      <c r="AJ70" s="6" t="n">
        <f aca="false">IF($S70="n.a.",0,$S70*$X70)</f>
        <v>0</v>
      </c>
      <c r="AK70" s="29" t="n">
        <f aca="false">MAX($Z70:$AD70)</f>
        <v>0</v>
      </c>
      <c r="AL70" s="30" t="n">
        <f aca="false">INDEX(AF70:AJ70,1,MATCH(AK70,Z70:AD70,0))</f>
        <v>0</v>
      </c>
      <c r="AM70" s="6" t="str">
        <f aca="false">IF($Y70=0,"",$AL70)</f>
        <v/>
      </c>
    </row>
    <row r="71" customFormat="false" ht="15" hidden="false" customHeight="false" outlineLevel="0" collapsed="false">
      <c r="A71" s="31" t="s">
        <v>46</v>
      </c>
      <c r="B71" s="32" t="str">
        <f aca="false">$AM71</f>
        <v/>
      </c>
      <c r="C71" s="5" t="n">
        <v>0.1</v>
      </c>
      <c r="D71" s="5" t="n">
        <v>2</v>
      </c>
      <c r="F71" s="26" t="s">
        <v>32</v>
      </c>
      <c r="G71" s="26" t="s">
        <v>32</v>
      </c>
      <c r="I71" s="5"/>
      <c r="J71" s="27"/>
      <c r="L71" s="5"/>
      <c r="M71" s="5"/>
      <c r="O71" s="5"/>
      <c r="P71" s="5"/>
      <c r="R71" s="5"/>
      <c r="S71" s="5"/>
      <c r="T71" s="6" t="n">
        <f aca="false">IF(AND(F71&gt;=$C71,F71&lt;=$D71,F71&lt;&gt;0,F71&lt;&gt;"n.a."),1,0)</f>
        <v>0</v>
      </c>
      <c r="U71" s="6" t="n">
        <f aca="false">IF(AND(I71&gt;=$C71,I71&lt;=$D71,I71&lt;&gt;0,I71&lt;&gt;"n.a."),1,0)</f>
        <v>0</v>
      </c>
      <c r="V71" s="6" t="n">
        <f aca="false">IF(AND(L71&gt;=$C71,L71&lt;=$D71,L71&lt;&gt;0),1,0)</f>
        <v>0</v>
      </c>
      <c r="W71" s="6" t="n">
        <f aca="false">IF(AND(O71&gt;=$C71,O71&lt;=$D71,O71&lt;&gt;0),1,0)</f>
        <v>0</v>
      </c>
      <c r="X71" s="6" t="n">
        <f aca="false">IF(AND(R71&gt;=$C71,R71&lt;=$D71,R71&lt;&gt;0),1,0)</f>
        <v>0</v>
      </c>
      <c r="Y71" s="6" t="n">
        <f aca="false">SUM($T71:$X71)</f>
        <v>0</v>
      </c>
      <c r="Z71" s="6" t="n">
        <f aca="false">IF($F71="n.a.",0,$F71*$T71)</f>
        <v>0</v>
      </c>
      <c r="AA71" s="6" t="n">
        <f aca="false">IF($I71="n.a.",0,$I71*$U71)</f>
        <v>0</v>
      </c>
      <c r="AB71" s="6" t="n">
        <f aca="false">IF($L71="n.a.",0,$L71*$V71)</f>
        <v>0</v>
      </c>
      <c r="AC71" s="6" t="n">
        <f aca="false">IF($O71="n.a.",0,$O71*$W71)</f>
        <v>0</v>
      </c>
      <c r="AD71" s="6" t="n">
        <f aca="false">IF($R71="n.a.",0,$R71*$X71)</f>
        <v>0</v>
      </c>
      <c r="AE71" s="28"/>
      <c r="AF71" s="6" t="n">
        <f aca="false">IF($G71="n.a.",0,$G71*$T71)</f>
        <v>0</v>
      </c>
      <c r="AG71" s="6" t="n">
        <f aca="false">IF($J71="n.a.",0,$J71*$U71)</f>
        <v>0</v>
      </c>
      <c r="AH71" s="6" t="n">
        <f aca="false">IF($M71="n.a.",0,$M71*$V71)</f>
        <v>0</v>
      </c>
      <c r="AI71" s="6" t="n">
        <f aca="false">IF($P71="n.a.",0,$P71*$W71)</f>
        <v>0</v>
      </c>
      <c r="AJ71" s="6" t="n">
        <f aca="false">IF($S71="n.a.",0,$S71*$X71)</f>
        <v>0</v>
      </c>
      <c r="AK71" s="29" t="n">
        <f aca="false">MAX($Z71:$AD71)</f>
        <v>0</v>
      </c>
      <c r="AL71" s="30" t="n">
        <f aca="false">INDEX(AF71:AJ71,1,MATCH(AK71,Z71:AD71,0))</f>
        <v>0</v>
      </c>
      <c r="AM71" s="6" t="str">
        <f aca="false">IF($Y71=0,"",$AL71)</f>
        <v/>
      </c>
    </row>
    <row r="72" customFormat="false" ht="15" hidden="false" customHeight="false" outlineLevel="0" collapsed="false">
      <c r="A72" s="31" t="s">
        <v>47</v>
      </c>
      <c r="B72" s="32" t="str">
        <f aca="false">$AM72</f>
        <v/>
      </c>
      <c r="C72" s="5" t="n">
        <v>0.1</v>
      </c>
      <c r="D72" s="5" t="n">
        <v>2</v>
      </c>
      <c r="F72" s="26" t="n">
        <v>0.00885769832541238</v>
      </c>
      <c r="G72" s="26" t="n">
        <v>0.00885769832541238</v>
      </c>
      <c r="I72" s="5"/>
      <c r="J72" s="27"/>
      <c r="L72" s="5"/>
      <c r="M72" s="5"/>
      <c r="O72" s="5"/>
      <c r="P72" s="5"/>
      <c r="R72" s="5"/>
      <c r="S72" s="5"/>
      <c r="T72" s="6" t="n">
        <f aca="false">IF(AND(F72&gt;=$C72,F72&lt;=$D72,F72&lt;&gt;0,F72&lt;&gt;"n.a."),1,0)</f>
        <v>0</v>
      </c>
      <c r="U72" s="6" t="n">
        <f aca="false">IF(AND(I72&gt;=$C72,I72&lt;=$D72,I72&lt;&gt;0,I72&lt;&gt;"n.a."),1,0)</f>
        <v>0</v>
      </c>
      <c r="V72" s="6" t="n">
        <f aca="false">IF(AND(L72&gt;=$C72,L72&lt;=$D72,L72&lt;&gt;0),1,0)</f>
        <v>0</v>
      </c>
      <c r="W72" s="6" t="n">
        <f aca="false">IF(AND(O72&gt;=$C72,O72&lt;=$D72,O72&lt;&gt;0),1,0)</f>
        <v>0</v>
      </c>
      <c r="X72" s="6" t="n">
        <f aca="false">IF(AND(R72&gt;=$C72,R72&lt;=$D72,R72&lt;&gt;0),1,0)</f>
        <v>0</v>
      </c>
      <c r="Y72" s="6" t="n">
        <f aca="false">SUM($T72:$X72)</f>
        <v>0</v>
      </c>
      <c r="Z72" s="6" t="n">
        <f aca="false">IF($F72="n.a.",0,$F72*$T72)</f>
        <v>0</v>
      </c>
      <c r="AA72" s="6" t="n">
        <f aca="false">IF($I72="n.a.",0,$I72*$U72)</f>
        <v>0</v>
      </c>
      <c r="AB72" s="6" t="n">
        <f aca="false">IF($L72="n.a.",0,$L72*$V72)</f>
        <v>0</v>
      </c>
      <c r="AC72" s="6" t="n">
        <f aca="false">IF($O72="n.a.",0,$O72*$W72)</f>
        <v>0</v>
      </c>
      <c r="AD72" s="6" t="n">
        <f aca="false">IF($R72="n.a.",0,$R72*$X72)</f>
        <v>0</v>
      </c>
      <c r="AE72" s="28"/>
      <c r="AF72" s="6" t="n">
        <f aca="false">IF($G72="n.a.",0,$G72*$T72)</f>
        <v>0</v>
      </c>
      <c r="AG72" s="6" t="n">
        <f aca="false">IF($J72="n.a.",0,$J72*$U72)</f>
        <v>0</v>
      </c>
      <c r="AH72" s="6" t="n">
        <f aca="false">IF($M72="n.a.",0,$M72*$V72)</f>
        <v>0</v>
      </c>
      <c r="AI72" s="6" t="n">
        <f aca="false">IF($P72="n.a.",0,$P72*$W72)</f>
        <v>0</v>
      </c>
      <c r="AJ72" s="6" t="n">
        <f aca="false">IF($S72="n.a.",0,$S72*$X72)</f>
        <v>0</v>
      </c>
      <c r="AK72" s="29" t="n">
        <f aca="false">MAX($Z72:$AD72)</f>
        <v>0</v>
      </c>
      <c r="AL72" s="30" t="n">
        <f aca="false">INDEX(AF72:AJ72,1,MATCH(AK72,Z72:AD72,0))</f>
        <v>0</v>
      </c>
      <c r="AM72" s="6" t="str">
        <f aca="false">IF($Y72=0,"",$AL72)</f>
        <v/>
      </c>
    </row>
    <row r="73" customFormat="false" ht="15" hidden="false" customHeight="false" outlineLevel="0" collapsed="false">
      <c r="A73" s="31" t="s">
        <v>48</v>
      </c>
      <c r="B73" s="32" t="str">
        <f aca="false">$AM73</f>
        <v/>
      </c>
      <c r="C73" s="5" t="n">
        <v>0.1</v>
      </c>
      <c r="D73" s="5" t="n">
        <v>2</v>
      </c>
      <c r="F73" s="26" t="n">
        <v>0.0155309595604351</v>
      </c>
      <c r="G73" s="26" t="n">
        <v>0.0155309595604351</v>
      </c>
      <c r="I73" s="5" t="n">
        <v>0.0154843286082528</v>
      </c>
      <c r="J73" s="27" t="n">
        <v>0.154843286082528</v>
      </c>
      <c r="L73" s="5"/>
      <c r="M73" s="5"/>
      <c r="O73" s="5"/>
      <c r="P73" s="5"/>
      <c r="R73" s="5"/>
      <c r="S73" s="5"/>
      <c r="T73" s="6" t="n">
        <f aca="false">IF(AND(F73&gt;=$C73,F73&lt;=$D73,F73&lt;&gt;0,F73&lt;&gt;"n.a."),1,0)</f>
        <v>0</v>
      </c>
      <c r="U73" s="6" t="n">
        <f aca="false">IF(AND(I73&gt;=$C73,I73&lt;=$D73,I73&lt;&gt;0,I73&lt;&gt;"n.a."),1,0)</f>
        <v>0</v>
      </c>
      <c r="V73" s="6" t="n">
        <f aca="false">IF(AND(L73&gt;=$C73,L73&lt;=$D73,L73&lt;&gt;0),1,0)</f>
        <v>0</v>
      </c>
      <c r="W73" s="6" t="n">
        <f aca="false">IF(AND(O73&gt;=$C73,O73&lt;=$D73,O73&lt;&gt;0),1,0)</f>
        <v>0</v>
      </c>
      <c r="X73" s="6" t="n">
        <f aca="false">IF(AND(R73&gt;=$C73,R73&lt;=$D73,R73&lt;&gt;0),1,0)</f>
        <v>0</v>
      </c>
      <c r="Y73" s="6" t="n">
        <f aca="false">SUM($T73:$X73)</f>
        <v>0</v>
      </c>
      <c r="Z73" s="6" t="n">
        <f aca="false">IF($F73="n.a.",0,$F73*$T73)</f>
        <v>0</v>
      </c>
      <c r="AA73" s="6" t="n">
        <f aca="false">IF($I73="n.a.",0,$I73*$U73)</f>
        <v>0</v>
      </c>
      <c r="AB73" s="6" t="n">
        <f aca="false">IF($L73="n.a.",0,$L73*$V73)</f>
        <v>0</v>
      </c>
      <c r="AC73" s="6" t="n">
        <f aca="false">IF($O73="n.a.",0,$O73*$W73)</f>
        <v>0</v>
      </c>
      <c r="AD73" s="6" t="n">
        <f aca="false">IF($R73="n.a.",0,$R73*$X73)</f>
        <v>0</v>
      </c>
      <c r="AE73" s="28"/>
      <c r="AF73" s="6" t="n">
        <f aca="false">IF($G73="n.a.",0,$G73*$T73)</f>
        <v>0</v>
      </c>
      <c r="AG73" s="6" t="n">
        <f aca="false">IF($J73="n.a.",0,$J73*$U73)</f>
        <v>0</v>
      </c>
      <c r="AH73" s="6" t="n">
        <f aca="false">IF($M73="n.a.",0,$M73*$V73)</f>
        <v>0</v>
      </c>
      <c r="AI73" s="6" t="n">
        <f aca="false">IF($P73="n.a.",0,$P73*$W73)</f>
        <v>0</v>
      </c>
      <c r="AJ73" s="6" t="n">
        <f aca="false">IF($S73="n.a.",0,$S73*$X73)</f>
        <v>0</v>
      </c>
      <c r="AK73" s="29" t="n">
        <f aca="false">MAX($Z73:$AD73)</f>
        <v>0</v>
      </c>
      <c r="AL73" s="30" t="n">
        <f aca="false">INDEX(AF73:AJ73,1,MATCH(AK73,Z73:AD73,0))</f>
        <v>0</v>
      </c>
      <c r="AM73" s="6" t="str">
        <f aca="false">IF($Y73=0,"",$AL73)</f>
        <v/>
      </c>
    </row>
    <row r="74" customFormat="false" ht="15" hidden="false" customHeight="false" outlineLevel="0" collapsed="false">
      <c r="A74" s="31" t="s">
        <v>49</v>
      </c>
      <c r="B74" s="32" t="str">
        <f aca="false">$AM74</f>
        <v/>
      </c>
      <c r="C74" s="5" t="n">
        <v>0.1</v>
      </c>
      <c r="D74" s="5" t="n">
        <v>2</v>
      </c>
      <c r="F74" s="26" t="n">
        <v>0.00579179185536047</v>
      </c>
      <c r="G74" s="26" t="n">
        <v>0.00579179185536047</v>
      </c>
      <c r="I74" s="5" t="n">
        <v>0.00467125257763066</v>
      </c>
      <c r="J74" s="27" t="n">
        <v>0.0467125257763066</v>
      </c>
      <c r="L74" s="5"/>
      <c r="M74" s="5"/>
      <c r="O74" s="5"/>
      <c r="P74" s="5"/>
      <c r="R74" s="5"/>
      <c r="S74" s="5"/>
      <c r="T74" s="6" t="n">
        <f aca="false">IF(AND(F74&gt;=$C74,F74&lt;=$D74,F74&lt;&gt;0,F74&lt;&gt;"n.a."),1,0)</f>
        <v>0</v>
      </c>
      <c r="U74" s="6" t="n">
        <f aca="false">IF(AND(I74&gt;=$C74,I74&lt;=$D74,I74&lt;&gt;0,I74&lt;&gt;"n.a."),1,0)</f>
        <v>0</v>
      </c>
      <c r="V74" s="6" t="n">
        <f aca="false">IF(AND(L74&gt;=$C74,L74&lt;=$D74,L74&lt;&gt;0),1,0)</f>
        <v>0</v>
      </c>
      <c r="W74" s="6" t="n">
        <f aca="false">IF(AND(O74&gt;=$C74,O74&lt;=$D74,O74&lt;&gt;0),1,0)</f>
        <v>0</v>
      </c>
      <c r="X74" s="6" t="n">
        <f aca="false">IF(AND(R74&gt;=$C74,R74&lt;=$D74,R74&lt;&gt;0),1,0)</f>
        <v>0</v>
      </c>
      <c r="Y74" s="6" t="n">
        <f aca="false">SUM($T74:$X74)</f>
        <v>0</v>
      </c>
      <c r="Z74" s="6" t="n">
        <f aca="false">IF($F74="n.a.",0,$F74*$T74)</f>
        <v>0</v>
      </c>
      <c r="AA74" s="6" t="n">
        <f aca="false">IF($I74="n.a.",0,$I74*$U74)</f>
        <v>0</v>
      </c>
      <c r="AB74" s="6" t="n">
        <f aca="false">IF($L74="n.a.",0,$L74*$V74)</f>
        <v>0</v>
      </c>
      <c r="AC74" s="6" t="n">
        <f aca="false">IF($O74="n.a.",0,$O74*$W74)</f>
        <v>0</v>
      </c>
      <c r="AD74" s="6" t="n">
        <f aca="false">IF($R74="n.a.",0,$R74*$X74)</f>
        <v>0</v>
      </c>
      <c r="AE74" s="28"/>
      <c r="AF74" s="6" t="n">
        <f aca="false">IF($G74="n.a.",0,$G74*$T74)</f>
        <v>0</v>
      </c>
      <c r="AG74" s="6" t="n">
        <f aca="false">IF($J74="n.a.",0,$J74*$U74)</f>
        <v>0</v>
      </c>
      <c r="AH74" s="6" t="n">
        <f aca="false">IF($M74="n.a.",0,$M74*$V74)</f>
        <v>0</v>
      </c>
      <c r="AI74" s="6" t="n">
        <f aca="false">IF($P74="n.a.",0,$P74*$W74)</f>
        <v>0</v>
      </c>
      <c r="AJ74" s="6" t="n">
        <f aca="false">IF($S74="n.a.",0,$S74*$X74)</f>
        <v>0</v>
      </c>
      <c r="AK74" s="29" t="n">
        <f aca="false">MAX($Z74:$AD74)</f>
        <v>0</v>
      </c>
      <c r="AL74" s="30" t="n">
        <f aca="false">INDEX(AF74:AJ74,1,MATCH(AK74,Z74:AD74,0))</f>
        <v>0</v>
      </c>
      <c r="AM74" s="6" t="str">
        <f aca="false">IF($Y74=0,"",$AL74)</f>
        <v/>
      </c>
    </row>
    <row r="75" customFormat="false" ht="15" hidden="false" customHeight="false" outlineLevel="0" collapsed="false">
      <c r="A75" s="31" t="s">
        <v>50</v>
      </c>
      <c r="B75" s="32" t="n">
        <f aca="false">$AM75</f>
        <v>2.51265114972571</v>
      </c>
      <c r="C75" s="5" t="n">
        <v>0.1</v>
      </c>
      <c r="D75" s="5" t="n">
        <v>2</v>
      </c>
      <c r="F75" s="26" t="n">
        <v>2.5322822494005</v>
      </c>
      <c r="G75" s="26" t="n">
        <v>2.5322822494005</v>
      </c>
      <c r="I75" s="5" t="n">
        <v>0.251265114972571</v>
      </c>
      <c r="J75" s="27" t="n">
        <v>2.51265114972571</v>
      </c>
      <c r="L75" s="5"/>
      <c r="M75" s="5"/>
      <c r="O75" s="5"/>
      <c r="P75" s="5"/>
      <c r="R75" s="5"/>
      <c r="S75" s="5"/>
      <c r="T75" s="6" t="n">
        <f aca="false">IF(AND(F75&gt;=$C75,F75&lt;=$D75,F75&lt;&gt;0,F75&lt;&gt;"n.a."),1,0)</f>
        <v>0</v>
      </c>
      <c r="U75" s="6" t="n">
        <f aca="false">IF(AND(I75&gt;=$C75,I75&lt;=$D75,I75&lt;&gt;0,I75&lt;&gt;"n.a."),1,0)</f>
        <v>1</v>
      </c>
      <c r="V75" s="6" t="n">
        <f aca="false">IF(AND(L75&gt;=$C75,L75&lt;=$D75,L75&lt;&gt;0),1,0)</f>
        <v>0</v>
      </c>
      <c r="W75" s="6" t="n">
        <f aca="false">IF(AND(O75&gt;=$C75,O75&lt;=$D75,O75&lt;&gt;0),1,0)</f>
        <v>0</v>
      </c>
      <c r="X75" s="6" t="n">
        <f aca="false">IF(AND(R75&gt;=$C75,R75&lt;=$D75,R75&lt;&gt;0),1,0)</f>
        <v>0</v>
      </c>
      <c r="Y75" s="6" t="n">
        <f aca="false">SUM($T75:$X75)</f>
        <v>1</v>
      </c>
      <c r="Z75" s="6" t="n">
        <f aca="false">IF($F75="n.a.",0,$F75*$T75)</f>
        <v>0</v>
      </c>
      <c r="AA75" s="6" t="n">
        <f aca="false">IF($I75="n.a.",0,$I75*$U75)</f>
        <v>0.251265114972571</v>
      </c>
      <c r="AB75" s="6" t="n">
        <f aca="false">IF($L75="n.a.",0,$L75*$V75)</f>
        <v>0</v>
      </c>
      <c r="AC75" s="6" t="n">
        <f aca="false">IF($O75="n.a.",0,$O75*$W75)</f>
        <v>0</v>
      </c>
      <c r="AD75" s="6" t="n">
        <f aca="false">IF($R75="n.a.",0,$R75*$X75)</f>
        <v>0</v>
      </c>
      <c r="AE75" s="28"/>
      <c r="AF75" s="6" t="n">
        <f aca="false">IF($G75="n.a.",0,$G75*$T75)</f>
        <v>0</v>
      </c>
      <c r="AG75" s="6" t="n">
        <f aca="false">IF($J75="n.a.",0,$J75*$U75)</f>
        <v>2.51265114972571</v>
      </c>
      <c r="AH75" s="6" t="n">
        <f aca="false">IF($M75="n.a.",0,$M75*$V75)</f>
        <v>0</v>
      </c>
      <c r="AI75" s="6" t="n">
        <f aca="false">IF($P75="n.a.",0,$P75*$W75)</f>
        <v>0</v>
      </c>
      <c r="AJ75" s="6" t="n">
        <f aca="false">IF($S75="n.a.",0,$S75*$X75)</f>
        <v>0</v>
      </c>
      <c r="AK75" s="29" t="n">
        <f aca="false">MAX($Z75:$AD75)</f>
        <v>0.251265114972571</v>
      </c>
      <c r="AL75" s="30" t="n">
        <f aca="false">INDEX(AF75:AJ75,1,MATCH(AK75,Z75:AD75,0))</f>
        <v>2.51265114972571</v>
      </c>
      <c r="AM75" s="30" t="n">
        <f aca="false">IF($Y75=0,"",$AL75)</f>
        <v>2.51265114972571</v>
      </c>
    </row>
    <row r="76" customFormat="false" ht="15" hidden="false" customHeight="false" outlineLevel="0" collapsed="false">
      <c r="A76" s="31" t="s">
        <v>51</v>
      </c>
      <c r="B76" s="32" t="str">
        <f aca="false">$AM76</f>
        <v/>
      </c>
      <c r="C76" s="5" t="n">
        <v>0.1</v>
      </c>
      <c r="D76" s="5" t="n">
        <v>2</v>
      </c>
      <c r="F76" s="26"/>
      <c r="G76" s="26"/>
      <c r="I76" s="5"/>
      <c r="J76" s="27"/>
      <c r="L76" s="5"/>
      <c r="M76" s="5"/>
      <c r="O76" s="5"/>
      <c r="P76" s="5"/>
      <c r="R76" s="5"/>
      <c r="S76" s="5"/>
      <c r="T76" s="6" t="n">
        <f aca="false">IF(AND(F76&gt;=$C76,F76&lt;=$D76,F76&lt;&gt;0,F76&lt;&gt;"n.a."),1,0)</f>
        <v>0</v>
      </c>
      <c r="U76" s="6" t="n">
        <f aca="false">IF(AND(I76&gt;=$C76,I76&lt;=$D76,I76&lt;&gt;0,I76&lt;&gt;"n.a."),1,0)</f>
        <v>0</v>
      </c>
      <c r="V76" s="6" t="n">
        <f aca="false">IF(AND(L76&gt;=$C76,L76&lt;=$D76,L76&lt;&gt;0),1,0)</f>
        <v>0</v>
      </c>
      <c r="W76" s="6" t="n">
        <f aca="false">IF(AND(O76&gt;=$C76,O76&lt;=$D76,O76&lt;&gt;0),1,0)</f>
        <v>0</v>
      </c>
      <c r="X76" s="6" t="n">
        <f aca="false">IF(AND(R76&gt;=$C76,R76&lt;=$D76,R76&lt;&gt;0),1,0)</f>
        <v>0</v>
      </c>
      <c r="Y76" s="6" t="n">
        <f aca="false">SUM($T76:$X76)</f>
        <v>0</v>
      </c>
      <c r="Z76" s="6" t="n">
        <f aca="false">IF($F76="n.a.",0,$F76*$T76)</f>
        <v>0</v>
      </c>
      <c r="AA76" s="6" t="n">
        <f aca="false">IF($I76="n.a.",0,$I76*$U76)</f>
        <v>0</v>
      </c>
      <c r="AB76" s="6" t="n">
        <f aca="false">IF($L76="n.a.",0,$L76*$V76)</f>
        <v>0</v>
      </c>
      <c r="AC76" s="6" t="n">
        <f aca="false">IF($O76="n.a.",0,$O76*$W76)</f>
        <v>0</v>
      </c>
      <c r="AD76" s="6" t="n">
        <f aca="false">IF($R76="n.a.",0,$R76*$X76)</f>
        <v>0</v>
      </c>
      <c r="AE76" s="28"/>
      <c r="AF76" s="6" t="n">
        <f aca="false">IF($G76="n.a.",0,$G76*$T76)</f>
        <v>0</v>
      </c>
      <c r="AG76" s="6" t="n">
        <f aca="false">IF($J76="n.a.",0,$J76*$U76)</f>
        <v>0</v>
      </c>
      <c r="AH76" s="6" t="n">
        <f aca="false">IF($M76="n.a.",0,$M76*$V76)</f>
        <v>0</v>
      </c>
      <c r="AI76" s="6" t="n">
        <f aca="false">IF($P76="n.a.",0,$P76*$W76)</f>
        <v>0</v>
      </c>
      <c r="AJ76" s="6" t="n">
        <f aca="false">IF($S76="n.a.",0,$S76*$X76)</f>
        <v>0</v>
      </c>
      <c r="AK76" s="29" t="n">
        <f aca="false">MAX($Z76:$AD76)</f>
        <v>0</v>
      </c>
      <c r="AL76" s="30" t="n">
        <f aca="false">INDEX(AF76:AJ76,1,MATCH(AK76,Z76:AD76,0))</f>
        <v>0</v>
      </c>
      <c r="AM76" s="6" t="str">
        <f aca="false">IF($Y76=0,"",$AL76)</f>
        <v/>
      </c>
    </row>
    <row r="77" customFormat="false" ht="15" hidden="false" customHeight="false" outlineLevel="0" collapsed="false">
      <c r="A77" s="31" t="s">
        <v>52</v>
      </c>
      <c r="B77" s="32" t="str">
        <f aca="false">$AM77</f>
        <v/>
      </c>
      <c r="C77" s="5" t="n">
        <v>0.1</v>
      </c>
      <c r="D77" s="5" t="n">
        <v>2</v>
      </c>
      <c r="F77" s="26" t="n">
        <v>0.0197245963525037</v>
      </c>
      <c r="G77" s="26" t="n">
        <v>0.0197245963525037</v>
      </c>
      <c r="I77" s="5" t="n">
        <v>0.0192528005669766</v>
      </c>
      <c r="J77" s="27" t="n">
        <v>0.192528005669766</v>
      </c>
      <c r="L77" s="5"/>
      <c r="M77" s="5"/>
      <c r="O77" s="5"/>
      <c r="P77" s="5"/>
      <c r="R77" s="5"/>
      <c r="S77" s="5"/>
      <c r="T77" s="6" t="n">
        <f aca="false">IF(AND(F77&gt;=$C77,F77&lt;=$D77,F77&lt;&gt;0,F77&lt;&gt;"n.a."),1,0)</f>
        <v>0</v>
      </c>
      <c r="U77" s="6" t="n">
        <f aca="false">IF(AND(I77&gt;=$C77,I77&lt;=$D77,I77&lt;&gt;0,I77&lt;&gt;"n.a."),1,0)</f>
        <v>0</v>
      </c>
      <c r="V77" s="6" t="n">
        <f aca="false">IF(AND(L77&gt;=$C77,L77&lt;=$D77,L77&lt;&gt;0),1,0)</f>
        <v>0</v>
      </c>
      <c r="W77" s="6" t="n">
        <f aca="false">IF(AND(O77&gt;=$C77,O77&lt;=$D77,O77&lt;&gt;0),1,0)</f>
        <v>0</v>
      </c>
      <c r="X77" s="6" t="n">
        <f aca="false">IF(AND(R77&gt;=$C77,R77&lt;=$D77,R77&lt;&gt;0),1,0)</f>
        <v>0</v>
      </c>
      <c r="Y77" s="6" t="n">
        <f aca="false">SUM($T77:$X77)</f>
        <v>0</v>
      </c>
      <c r="Z77" s="6" t="n">
        <f aca="false">IF($F77="n.a.",0,$F77*$T77)</f>
        <v>0</v>
      </c>
      <c r="AA77" s="6" t="n">
        <f aca="false">IF($I77="n.a.",0,$I77*$U77)</f>
        <v>0</v>
      </c>
      <c r="AB77" s="6" t="n">
        <f aca="false">IF($L77="n.a.",0,$L77*$V77)</f>
        <v>0</v>
      </c>
      <c r="AC77" s="6" t="n">
        <f aca="false">IF($O77="n.a.",0,$O77*$W77)</f>
        <v>0</v>
      </c>
      <c r="AD77" s="6" t="n">
        <f aca="false">IF($R77="n.a.",0,$R77*$X77)</f>
        <v>0</v>
      </c>
      <c r="AE77" s="28"/>
      <c r="AF77" s="6" t="n">
        <f aca="false">IF($G77="n.a.",0,$G77*$T77)</f>
        <v>0</v>
      </c>
      <c r="AG77" s="6" t="n">
        <f aca="false">IF($J77="n.a.",0,$J77*$U77)</f>
        <v>0</v>
      </c>
      <c r="AH77" s="6" t="n">
        <f aca="false">IF($M77="n.a.",0,$M77*$V77)</f>
        <v>0</v>
      </c>
      <c r="AI77" s="6" t="n">
        <f aca="false">IF($P77="n.a.",0,$P77*$W77)</f>
        <v>0</v>
      </c>
      <c r="AJ77" s="6" t="n">
        <f aca="false">IF($S77="n.a.",0,$S77*$X77)</f>
        <v>0</v>
      </c>
      <c r="AK77" s="29" t="n">
        <f aca="false">MAX($Z77:$AD77)</f>
        <v>0</v>
      </c>
      <c r="AL77" s="30" t="n">
        <f aca="false">INDEX(AF77:AJ77,1,MATCH(AK77,Z77:AD77,0))</f>
        <v>0</v>
      </c>
      <c r="AM77" s="6" t="str">
        <f aca="false">IF($Y77=0,"",$AL77)</f>
        <v/>
      </c>
    </row>
    <row r="78" customFormat="false" ht="15" hidden="false" customHeight="false" outlineLevel="0" collapsed="false">
      <c r="A78" s="31" t="s">
        <v>53</v>
      </c>
      <c r="B78" s="32" t="str">
        <f aca="false">$AM78</f>
        <v/>
      </c>
      <c r="C78" s="5" t="n">
        <v>0.1</v>
      </c>
      <c r="D78" s="5" t="n">
        <v>2</v>
      </c>
      <c r="F78" s="26"/>
      <c r="G78" s="26"/>
      <c r="I78" s="5"/>
      <c r="J78" s="27"/>
      <c r="L78" s="5"/>
      <c r="M78" s="5"/>
      <c r="O78" s="5"/>
      <c r="P78" s="5"/>
      <c r="R78" s="5"/>
      <c r="S78" s="5"/>
      <c r="T78" s="6" t="n">
        <f aca="false">IF(AND(F78&gt;=$C78,F78&lt;=$D78,F78&lt;&gt;0,F78&lt;&gt;"n.a."),1,0)</f>
        <v>0</v>
      </c>
      <c r="U78" s="6" t="n">
        <f aca="false">IF(AND(I78&gt;=$C78,I78&lt;=$D78,I78&lt;&gt;0,I78&lt;&gt;"n.a."),1,0)</f>
        <v>0</v>
      </c>
      <c r="V78" s="6" t="n">
        <f aca="false">IF(AND(L78&gt;=$C78,L78&lt;=$D78,L78&lt;&gt;0),1,0)</f>
        <v>0</v>
      </c>
      <c r="W78" s="6" t="n">
        <f aca="false">IF(AND(O78&gt;=$C78,O78&lt;=$D78,O78&lt;&gt;0),1,0)</f>
        <v>0</v>
      </c>
      <c r="X78" s="6" t="n">
        <f aca="false">IF(AND(R78&gt;=$C78,R78&lt;=$D78,R78&lt;&gt;0),1,0)</f>
        <v>0</v>
      </c>
      <c r="Y78" s="6" t="n">
        <f aca="false">SUM($T78:$X78)</f>
        <v>0</v>
      </c>
      <c r="Z78" s="6" t="n">
        <f aca="false">IF($F78="n.a.",0,$F78*$T78)</f>
        <v>0</v>
      </c>
      <c r="AA78" s="6" t="n">
        <f aca="false">IF($I78="n.a.",0,$I78*$U78)</f>
        <v>0</v>
      </c>
      <c r="AB78" s="6" t="n">
        <f aca="false">IF($L78="n.a.",0,$L78*$V78)</f>
        <v>0</v>
      </c>
      <c r="AC78" s="6" t="n">
        <f aca="false">IF($O78="n.a.",0,$O78*$W78)</f>
        <v>0</v>
      </c>
      <c r="AD78" s="6" t="n">
        <f aca="false">IF($R78="n.a.",0,$R78*$X78)</f>
        <v>0</v>
      </c>
      <c r="AE78" s="28"/>
      <c r="AF78" s="6" t="n">
        <f aca="false">IF($G78="n.a.",0,$G78*$T78)</f>
        <v>0</v>
      </c>
      <c r="AG78" s="6" t="n">
        <f aca="false">IF($J78="n.a.",0,$J78*$U78)</f>
        <v>0</v>
      </c>
      <c r="AH78" s="6" t="n">
        <f aca="false">IF($M78="n.a.",0,$M78*$V78)</f>
        <v>0</v>
      </c>
      <c r="AI78" s="6" t="n">
        <f aca="false">IF($P78="n.a.",0,$P78*$W78)</f>
        <v>0</v>
      </c>
      <c r="AJ78" s="6" t="n">
        <f aca="false">IF($S78="n.a.",0,$S78*$X78)</f>
        <v>0</v>
      </c>
      <c r="AK78" s="29" t="n">
        <f aca="false">MAX($Z78:$AD78)</f>
        <v>0</v>
      </c>
      <c r="AL78" s="30" t="n">
        <f aca="false">INDEX(AF78:AJ78,1,MATCH(AK78,Z78:AD78,0))</f>
        <v>0</v>
      </c>
      <c r="AM78" s="6" t="str">
        <f aca="false">IF($Y78=0,"",$AL78)</f>
        <v/>
      </c>
    </row>
    <row r="79" customFormat="false" ht="15" hidden="false" customHeight="false" outlineLevel="0" collapsed="false">
      <c r="A79" s="31" t="s">
        <v>54</v>
      </c>
      <c r="B79" s="32" t="str">
        <f aca="false">$AM79</f>
        <v/>
      </c>
      <c r="C79" s="5" t="n">
        <v>0.1</v>
      </c>
      <c r="D79" s="5" t="n">
        <v>2</v>
      </c>
      <c r="F79" s="26" t="n">
        <v>0.0200503544004214</v>
      </c>
      <c r="G79" s="26" t="n">
        <v>0.0200503544004214</v>
      </c>
      <c r="I79" s="5" t="n">
        <v>0.0179308633456699</v>
      </c>
      <c r="J79" s="27" t="n">
        <v>0.179308633456699</v>
      </c>
      <c r="L79" s="5"/>
      <c r="M79" s="5"/>
      <c r="O79" s="5"/>
      <c r="P79" s="5"/>
      <c r="R79" s="5"/>
      <c r="S79" s="5"/>
      <c r="T79" s="6" t="n">
        <f aca="false">IF(AND(F79&gt;=$C79,F79&lt;=$D79,F79&lt;&gt;0,F79&lt;&gt;"n.a."),1,0)</f>
        <v>0</v>
      </c>
      <c r="U79" s="6" t="n">
        <f aca="false">IF(AND(I79&gt;=$C79,I79&lt;=$D79,I79&lt;&gt;0,I79&lt;&gt;"n.a."),1,0)</f>
        <v>0</v>
      </c>
      <c r="V79" s="6" t="n">
        <f aca="false">IF(AND(L79&gt;=$C79,L79&lt;=$D79,L79&lt;&gt;0),1,0)</f>
        <v>0</v>
      </c>
      <c r="W79" s="6" t="n">
        <f aca="false">IF(AND(O79&gt;=$C79,O79&lt;=$D79,O79&lt;&gt;0),1,0)</f>
        <v>0</v>
      </c>
      <c r="X79" s="6" t="n">
        <f aca="false">IF(AND(R79&gt;=$C79,R79&lt;=$D79,R79&lt;&gt;0),1,0)</f>
        <v>0</v>
      </c>
      <c r="Y79" s="6" t="n">
        <f aca="false">SUM($T79:$X79)</f>
        <v>0</v>
      </c>
      <c r="Z79" s="6" t="n">
        <f aca="false">IF($F79="n.a.",0,$F79*$T79)</f>
        <v>0</v>
      </c>
      <c r="AA79" s="6" t="n">
        <f aca="false">IF($I79="n.a.",0,$I79*$U79)</f>
        <v>0</v>
      </c>
      <c r="AB79" s="6" t="n">
        <f aca="false">IF($L79="n.a.",0,$L79*$V79)</f>
        <v>0</v>
      </c>
      <c r="AC79" s="6" t="n">
        <f aca="false">IF($O79="n.a.",0,$O79*$W79)</f>
        <v>0</v>
      </c>
      <c r="AD79" s="6" t="n">
        <f aca="false">IF($R79="n.a.",0,$R79*$X79)</f>
        <v>0</v>
      </c>
      <c r="AE79" s="28"/>
      <c r="AF79" s="6" t="n">
        <f aca="false">IF($G79="n.a.",0,$G79*$T79)</f>
        <v>0</v>
      </c>
      <c r="AG79" s="6" t="n">
        <f aca="false">IF($J79="n.a.",0,$J79*$U79)</f>
        <v>0</v>
      </c>
      <c r="AH79" s="6" t="n">
        <f aca="false">IF($M79="n.a.",0,$M79*$V79)</f>
        <v>0</v>
      </c>
      <c r="AI79" s="6" t="n">
        <f aca="false">IF($P79="n.a.",0,$P79*$W79)</f>
        <v>0</v>
      </c>
      <c r="AJ79" s="6" t="n">
        <f aca="false">IF($S79="n.a.",0,$S79*$X79)</f>
        <v>0</v>
      </c>
      <c r="AK79" s="29" t="n">
        <f aca="false">MAX($Z79:$AD79)</f>
        <v>0</v>
      </c>
      <c r="AL79" s="30" t="n">
        <f aca="false">INDEX(AF79:AJ79,1,MATCH(AK79,Z79:AD79,0))</f>
        <v>0</v>
      </c>
      <c r="AM79" s="6" t="str">
        <f aca="false">IF($Y79=0,"",$AL79)</f>
        <v/>
      </c>
    </row>
    <row r="80" customFormat="false" ht="15" hidden="false" customHeight="false" outlineLevel="0" collapsed="false">
      <c r="A80" s="31" t="s">
        <v>55</v>
      </c>
      <c r="B80" s="32" t="str">
        <f aca="false">$AM80</f>
        <v/>
      </c>
      <c r="C80" s="5" t="n">
        <v>0.1</v>
      </c>
      <c r="D80" s="5" t="n">
        <v>2</v>
      </c>
      <c r="F80" s="26" t="n">
        <v>0.00642054560957153</v>
      </c>
      <c r="G80" s="26" t="n">
        <v>0.00642054560957153</v>
      </c>
      <c r="I80" s="5" t="n">
        <v>0.00623423296959753</v>
      </c>
      <c r="J80" s="27" t="n">
        <v>0.0623423296959753</v>
      </c>
      <c r="L80" s="5"/>
      <c r="M80" s="5"/>
      <c r="O80" s="5"/>
      <c r="P80" s="5"/>
      <c r="R80" s="5"/>
      <c r="S80" s="5"/>
      <c r="T80" s="6" t="n">
        <f aca="false">IF(AND(F80&gt;=$C80,F80&lt;=$D80,F80&lt;&gt;0,F80&lt;&gt;"n.a."),1,0)</f>
        <v>0</v>
      </c>
      <c r="U80" s="6" t="n">
        <f aca="false">IF(AND(I80&gt;=$C80,I80&lt;=$D80,I80&lt;&gt;0,I80&lt;&gt;"n.a."),1,0)</f>
        <v>0</v>
      </c>
      <c r="V80" s="6" t="n">
        <f aca="false">IF(AND(L80&gt;=$C80,L80&lt;=$D80,L80&lt;&gt;0),1,0)</f>
        <v>0</v>
      </c>
      <c r="W80" s="6" t="n">
        <f aca="false">IF(AND(O80&gt;=$C80,O80&lt;=$D80,O80&lt;&gt;0),1,0)</f>
        <v>0</v>
      </c>
      <c r="X80" s="6" t="n">
        <f aca="false">IF(AND(R80&gt;=$C80,R80&lt;=$D80,R80&lt;&gt;0),1,0)</f>
        <v>0</v>
      </c>
      <c r="Y80" s="6" t="n">
        <f aca="false">SUM($T80:$X80)</f>
        <v>0</v>
      </c>
      <c r="Z80" s="6" t="n">
        <f aca="false">IF($F80="n.a.",0,$F80*$T80)</f>
        <v>0</v>
      </c>
      <c r="AA80" s="6" t="n">
        <f aca="false">IF($I80="n.a.",0,$I80*$U80)</f>
        <v>0</v>
      </c>
      <c r="AB80" s="6" t="n">
        <f aca="false">IF($L80="n.a.",0,$L80*$V80)</f>
        <v>0</v>
      </c>
      <c r="AC80" s="6" t="n">
        <f aca="false">IF($O80="n.a.",0,$O80*$W80)</f>
        <v>0</v>
      </c>
      <c r="AD80" s="6" t="n">
        <f aca="false">IF($R80="n.a.",0,$R80*$X80)</f>
        <v>0</v>
      </c>
      <c r="AE80" s="28"/>
      <c r="AF80" s="6" t="n">
        <f aca="false">IF($G80="n.a.",0,$G80*$T80)</f>
        <v>0</v>
      </c>
      <c r="AG80" s="6" t="n">
        <f aca="false">IF($J80="n.a.",0,$J80*$U80)</f>
        <v>0</v>
      </c>
      <c r="AH80" s="6" t="n">
        <f aca="false">IF($M80="n.a.",0,$M80*$V80)</f>
        <v>0</v>
      </c>
      <c r="AI80" s="6" t="n">
        <f aca="false">IF($P80="n.a.",0,$P80*$W80)</f>
        <v>0</v>
      </c>
      <c r="AJ80" s="6" t="n">
        <f aca="false">IF($S80="n.a.",0,$S80*$X80)</f>
        <v>0</v>
      </c>
      <c r="AK80" s="29" t="n">
        <f aca="false">MAX($Z80:$AD80)</f>
        <v>0</v>
      </c>
      <c r="AL80" s="30" t="n">
        <f aca="false">INDEX(AF80:AJ80,1,MATCH(AK80,Z80:AD80,0))</f>
        <v>0</v>
      </c>
      <c r="AM80" s="6" t="str">
        <f aca="false">IF($Y80=0,"",$AL80)</f>
        <v/>
      </c>
    </row>
    <row r="81" customFormat="false" ht="15" hidden="false" customHeight="false" outlineLevel="0" collapsed="false">
      <c r="A81" s="31" t="s">
        <v>56</v>
      </c>
      <c r="B81" s="32" t="n">
        <f aca="false">$AM81</f>
        <v>0.447355176708584</v>
      </c>
      <c r="C81" s="5" t="n">
        <v>0.1</v>
      </c>
      <c r="D81" s="5" t="n">
        <v>2</v>
      </c>
      <c r="F81" s="26" t="n">
        <v>0.447355176708584</v>
      </c>
      <c r="G81" s="26" t="n">
        <v>0.447355176708584</v>
      </c>
      <c r="I81" s="5" t="n">
        <v>0.061730593541445</v>
      </c>
      <c r="J81" s="27" t="n">
        <v>0.61730593541445</v>
      </c>
      <c r="L81" s="5"/>
      <c r="M81" s="5"/>
      <c r="O81" s="5"/>
      <c r="P81" s="5"/>
      <c r="R81" s="5"/>
      <c r="S81" s="5"/>
      <c r="T81" s="6" t="n">
        <f aca="false">IF(AND(F81&gt;=$C81,F81&lt;=$D81,F81&lt;&gt;0,F81&lt;&gt;"n.a."),1,0)</f>
        <v>1</v>
      </c>
      <c r="U81" s="6" t="n">
        <f aca="false">IF(AND(I81&gt;=$C81,I81&lt;=$D81,I81&lt;&gt;0,I81&lt;&gt;"n.a."),1,0)</f>
        <v>0</v>
      </c>
      <c r="V81" s="6" t="n">
        <f aca="false">IF(AND(L81&gt;=$C81,L81&lt;=$D81,L81&lt;&gt;0),1,0)</f>
        <v>0</v>
      </c>
      <c r="W81" s="6" t="n">
        <f aca="false">IF(AND(O81&gt;=$C81,O81&lt;=$D81,O81&lt;&gt;0),1,0)</f>
        <v>0</v>
      </c>
      <c r="X81" s="6" t="n">
        <f aca="false">IF(AND(R81&gt;=$C81,R81&lt;=$D81,R81&lt;&gt;0),1,0)</f>
        <v>0</v>
      </c>
      <c r="Y81" s="6" t="n">
        <f aca="false">SUM($T81:$X81)</f>
        <v>1</v>
      </c>
      <c r="Z81" s="6" t="n">
        <f aca="false">IF($F81="n.a.",0,$F81*$T81)</f>
        <v>0.447355176708584</v>
      </c>
      <c r="AA81" s="6" t="n">
        <f aca="false">IF($I81="n.a.",0,$I81*$U81)</f>
        <v>0</v>
      </c>
      <c r="AB81" s="6" t="n">
        <f aca="false">IF($L81="n.a.",0,$L81*$V81)</f>
        <v>0</v>
      </c>
      <c r="AC81" s="6" t="n">
        <f aca="false">IF($O81="n.a.",0,$O81*$W81)</f>
        <v>0</v>
      </c>
      <c r="AD81" s="6" t="n">
        <f aca="false">IF($R81="n.a.",0,$R81*$X81)</f>
        <v>0</v>
      </c>
      <c r="AE81" s="28"/>
      <c r="AF81" s="6" t="n">
        <f aca="false">IF($G81="n.a.",0,$G81*$T81)</f>
        <v>0.447355176708584</v>
      </c>
      <c r="AG81" s="6" t="n">
        <f aca="false">IF($J81="n.a.",0,$J81*$U81)</f>
        <v>0</v>
      </c>
      <c r="AH81" s="6" t="n">
        <f aca="false">IF($M81="n.a.",0,$M81*$V81)</f>
        <v>0</v>
      </c>
      <c r="AI81" s="6" t="n">
        <f aca="false">IF($P81="n.a.",0,$P81*$W81)</f>
        <v>0</v>
      </c>
      <c r="AJ81" s="6" t="n">
        <f aca="false">IF($S81="n.a.",0,$S81*$X81)</f>
        <v>0</v>
      </c>
      <c r="AK81" s="29" t="n">
        <f aca="false">MAX($Z81:$AD81)</f>
        <v>0.447355176708584</v>
      </c>
      <c r="AL81" s="30" t="n">
        <f aca="false">INDEX(AF81:AJ81,1,MATCH(AK81,Z81:AD81,0))</f>
        <v>0.447355176708584</v>
      </c>
      <c r="AM81" s="30" t="n">
        <f aca="false">IF($Y81=0,"",$AL81)</f>
        <v>0.447355176708584</v>
      </c>
    </row>
    <row r="82" customFormat="false" ht="15" hidden="false" customHeight="false" outlineLevel="0" collapsed="false">
      <c r="A82" s="31" t="s">
        <v>57</v>
      </c>
      <c r="B82" s="32" t="str">
        <f aca="false">$AM82</f>
        <v/>
      </c>
      <c r="C82" s="5" t="n">
        <v>0.1</v>
      </c>
      <c r="D82" s="5" t="n">
        <v>2</v>
      </c>
      <c r="F82" s="26" t="n">
        <v>0.0139810553694851</v>
      </c>
      <c r="G82" s="26" t="n">
        <v>0.0139810553694851</v>
      </c>
      <c r="I82" s="5" t="n">
        <v>0.0139945707722696</v>
      </c>
      <c r="J82" s="27" t="n">
        <v>0.139945707722696</v>
      </c>
      <c r="L82" s="5"/>
      <c r="M82" s="5"/>
      <c r="O82" s="5"/>
      <c r="P82" s="5"/>
      <c r="R82" s="5"/>
      <c r="S82" s="5"/>
      <c r="T82" s="6" t="n">
        <f aca="false">IF(AND(F82&gt;=$C82,F82&lt;=$D82,F82&lt;&gt;0,F82&lt;&gt;"n.a."),1,0)</f>
        <v>0</v>
      </c>
      <c r="U82" s="6" t="n">
        <f aca="false">IF(AND(I82&gt;=$C82,I82&lt;=$D82,I82&lt;&gt;0,I82&lt;&gt;"n.a."),1,0)</f>
        <v>0</v>
      </c>
      <c r="V82" s="6" t="n">
        <f aca="false">IF(AND(L82&gt;=$C82,L82&lt;=$D82,L82&lt;&gt;0),1,0)</f>
        <v>0</v>
      </c>
      <c r="W82" s="6" t="n">
        <f aca="false">IF(AND(O82&gt;=$C82,O82&lt;=$D82,O82&lt;&gt;0),1,0)</f>
        <v>0</v>
      </c>
      <c r="X82" s="6" t="n">
        <f aca="false">IF(AND(R82&gt;=$C82,R82&lt;=$D82,R82&lt;&gt;0),1,0)</f>
        <v>0</v>
      </c>
      <c r="Y82" s="6" t="n">
        <f aca="false">SUM($T82:$X82)</f>
        <v>0</v>
      </c>
      <c r="Z82" s="6" t="n">
        <f aca="false">IF($F82="n.a.",0,$F82*$T82)</f>
        <v>0</v>
      </c>
      <c r="AA82" s="6" t="n">
        <f aca="false">IF($I82="n.a.",0,$I82*$U82)</f>
        <v>0</v>
      </c>
      <c r="AB82" s="6" t="n">
        <f aca="false">IF($L82="n.a.",0,$L82*$V82)</f>
        <v>0</v>
      </c>
      <c r="AC82" s="6" t="n">
        <f aca="false">IF($O82="n.a.",0,$O82*$W82)</f>
        <v>0</v>
      </c>
      <c r="AD82" s="6" t="n">
        <f aca="false">IF($R82="n.a.",0,$R82*$X82)</f>
        <v>0</v>
      </c>
      <c r="AE82" s="28"/>
      <c r="AF82" s="6" t="n">
        <f aca="false">IF($G82="n.a.",0,$G82*$T82)</f>
        <v>0</v>
      </c>
      <c r="AG82" s="6" t="n">
        <f aca="false">IF($J82="n.a.",0,$J82*$U82)</f>
        <v>0</v>
      </c>
      <c r="AH82" s="6" t="n">
        <f aca="false">IF($M82="n.a.",0,$M82*$V82)</f>
        <v>0</v>
      </c>
      <c r="AI82" s="6" t="n">
        <f aca="false">IF($P82="n.a.",0,$P82*$W82)</f>
        <v>0</v>
      </c>
      <c r="AJ82" s="6" t="n">
        <f aca="false">IF($S82="n.a.",0,$S82*$X82)</f>
        <v>0</v>
      </c>
      <c r="AK82" s="29" t="n">
        <f aca="false">MAX($Z82:$AD82)</f>
        <v>0</v>
      </c>
      <c r="AL82" s="30" t="n">
        <f aca="false">INDEX(AF82:AJ82,1,MATCH(AK82,Z82:AD82,0))</f>
        <v>0</v>
      </c>
      <c r="AM82" s="6" t="str">
        <f aca="false">IF($Y82=0,"",$AL82)</f>
        <v/>
      </c>
    </row>
    <row r="83" customFormat="false" ht="15" hidden="false" customHeight="false" outlineLevel="0" collapsed="false">
      <c r="A83" s="31" t="s">
        <v>58</v>
      </c>
      <c r="B83" s="32" t="str">
        <f aca="false">$AM83</f>
        <v/>
      </c>
      <c r="C83" s="5" t="n">
        <v>0.1</v>
      </c>
      <c r="D83" s="5" t="n">
        <v>2</v>
      </c>
      <c r="F83" s="26" t="n">
        <v>0.0123213405944504</v>
      </c>
      <c r="G83" s="26" t="n">
        <v>0.0123213405944504</v>
      </c>
      <c r="I83" s="5" t="n">
        <v>0.0122650108193976</v>
      </c>
      <c r="J83" s="27" t="n">
        <v>0.122650108193976</v>
      </c>
      <c r="L83" s="5"/>
      <c r="M83" s="5"/>
      <c r="O83" s="5"/>
      <c r="P83" s="5"/>
      <c r="R83" s="5"/>
      <c r="S83" s="5"/>
      <c r="T83" s="6" t="n">
        <f aca="false">IF(AND(F83&gt;=$C83,F83&lt;=$D83,F83&lt;&gt;0,F83&lt;&gt;"n.a."),1,0)</f>
        <v>0</v>
      </c>
      <c r="U83" s="6" t="n">
        <f aca="false">IF(AND(I83&gt;=$C83,I83&lt;=$D83,I83&lt;&gt;0,I83&lt;&gt;"n.a."),1,0)</f>
        <v>0</v>
      </c>
      <c r="V83" s="6" t="n">
        <f aca="false">IF(AND(L83&gt;=$C83,L83&lt;=$D83,L83&lt;&gt;0),1,0)</f>
        <v>0</v>
      </c>
      <c r="W83" s="6" t="n">
        <f aca="false">IF(AND(O83&gt;=$C83,O83&lt;=$D83,O83&lt;&gt;0),1,0)</f>
        <v>0</v>
      </c>
      <c r="X83" s="6" t="n">
        <f aca="false">IF(AND(R83&gt;=$C83,R83&lt;=$D83,R83&lt;&gt;0),1,0)</f>
        <v>0</v>
      </c>
      <c r="Y83" s="6" t="n">
        <f aca="false">SUM($T83:$X83)</f>
        <v>0</v>
      </c>
      <c r="Z83" s="6" t="n">
        <f aca="false">IF($F83="n.a.",0,$F83*$T83)</f>
        <v>0</v>
      </c>
      <c r="AA83" s="6" t="n">
        <f aca="false">IF($I83="n.a.",0,$I83*$U83)</f>
        <v>0</v>
      </c>
      <c r="AB83" s="6" t="n">
        <f aca="false">IF($L83="n.a.",0,$L83*$V83)</f>
        <v>0</v>
      </c>
      <c r="AC83" s="6" t="n">
        <f aca="false">IF($O83="n.a.",0,$O83*$W83)</f>
        <v>0</v>
      </c>
      <c r="AD83" s="6" t="n">
        <f aca="false">IF($R83="n.a.",0,$R83*$X83)</f>
        <v>0</v>
      </c>
      <c r="AE83" s="28"/>
      <c r="AF83" s="6" t="n">
        <f aca="false">IF($G83="n.a.",0,$G83*$T83)</f>
        <v>0</v>
      </c>
      <c r="AG83" s="6" t="n">
        <f aca="false">IF($J83="n.a.",0,$J83*$U83)</f>
        <v>0</v>
      </c>
      <c r="AH83" s="6" t="n">
        <f aca="false">IF($M83="n.a.",0,$M83*$V83)</f>
        <v>0</v>
      </c>
      <c r="AI83" s="6" t="n">
        <f aca="false">IF($P83="n.a.",0,$P83*$W83)</f>
        <v>0</v>
      </c>
      <c r="AJ83" s="6" t="n">
        <f aca="false">IF($S83="n.a.",0,$S83*$X83)</f>
        <v>0</v>
      </c>
      <c r="AK83" s="29" t="n">
        <f aca="false">MAX($Z83:$AD83)</f>
        <v>0</v>
      </c>
      <c r="AL83" s="30" t="n">
        <f aca="false">INDEX(AF83:AJ83,1,MATCH(AK83,Z83:AD83,0))</f>
        <v>0</v>
      </c>
      <c r="AM83" s="6" t="str">
        <f aca="false">IF($Y83=0,"",$AL83)</f>
        <v/>
      </c>
    </row>
    <row r="84" customFormat="false" ht="15" hidden="false" customHeight="false" outlineLevel="0" collapsed="false">
      <c r="A84" s="31" t="s">
        <v>59</v>
      </c>
      <c r="B84" s="32" t="str">
        <f aca="false">$AM84</f>
        <v/>
      </c>
      <c r="C84" s="5" t="n">
        <v>0.1</v>
      </c>
      <c r="D84" s="5" t="n">
        <v>2</v>
      </c>
      <c r="F84" s="26" t="n">
        <v>0.021636714274975</v>
      </c>
      <c r="G84" s="26" t="n">
        <v>0.021636714274975</v>
      </c>
      <c r="I84" s="5" t="n">
        <v>0.0241042930088947</v>
      </c>
      <c r="J84" s="27" t="n">
        <v>0.241042930088947</v>
      </c>
      <c r="L84" s="5"/>
      <c r="M84" s="5"/>
      <c r="O84" s="5"/>
      <c r="P84" s="5"/>
      <c r="R84" s="5"/>
      <c r="S84" s="5"/>
      <c r="T84" s="6" t="n">
        <f aca="false">IF(AND(F84&gt;=$C84,F84&lt;=$D84,F84&lt;&gt;0,F84&lt;&gt;"n.a."),1,0)</f>
        <v>0</v>
      </c>
      <c r="U84" s="6" t="n">
        <f aca="false">IF(AND(I84&gt;=$C84,I84&lt;=$D84,I84&lt;&gt;0,I84&lt;&gt;"n.a."),1,0)</f>
        <v>0</v>
      </c>
      <c r="V84" s="6" t="n">
        <f aca="false">IF(AND(L84&gt;=$C84,L84&lt;=$D84,L84&lt;&gt;0),1,0)</f>
        <v>0</v>
      </c>
      <c r="W84" s="6" t="n">
        <f aca="false">IF(AND(O84&gt;=$C84,O84&lt;=$D84,O84&lt;&gt;0),1,0)</f>
        <v>0</v>
      </c>
      <c r="X84" s="6" t="n">
        <f aca="false">IF(AND(R84&gt;=$C84,R84&lt;=$D84,R84&lt;&gt;0),1,0)</f>
        <v>0</v>
      </c>
      <c r="Y84" s="6" t="n">
        <f aca="false">SUM($T84:$X84)</f>
        <v>0</v>
      </c>
      <c r="Z84" s="6" t="n">
        <f aca="false">IF($F84="n.a.",0,$F84*$T84)</f>
        <v>0</v>
      </c>
      <c r="AA84" s="6" t="n">
        <f aca="false">IF($I84="n.a.",0,$I84*$U84)</f>
        <v>0</v>
      </c>
      <c r="AB84" s="6" t="n">
        <f aca="false">IF($L84="n.a.",0,$L84*$V84)</f>
        <v>0</v>
      </c>
      <c r="AC84" s="6" t="n">
        <f aca="false">IF($O84="n.a.",0,$O84*$W84)</f>
        <v>0</v>
      </c>
      <c r="AD84" s="6" t="n">
        <f aca="false">IF($R84="n.a.",0,$R84*$X84)</f>
        <v>0</v>
      </c>
      <c r="AE84" s="28"/>
      <c r="AF84" s="6" t="n">
        <f aca="false">IF($G84="n.a.",0,$G84*$T84)</f>
        <v>0</v>
      </c>
      <c r="AG84" s="6" t="n">
        <f aca="false">IF($J84="n.a.",0,$J84*$U84)</f>
        <v>0</v>
      </c>
      <c r="AH84" s="6" t="n">
        <f aca="false">IF($M84="n.a.",0,$M84*$V84)</f>
        <v>0</v>
      </c>
      <c r="AI84" s="6" t="n">
        <f aca="false">IF($P84="n.a.",0,$P84*$W84)</f>
        <v>0</v>
      </c>
      <c r="AJ84" s="6" t="n">
        <f aca="false">IF($S84="n.a.",0,$S84*$X84)</f>
        <v>0</v>
      </c>
      <c r="AK84" s="29" t="n">
        <f aca="false">MAX($Z84:$AD84)</f>
        <v>0</v>
      </c>
      <c r="AL84" s="30" t="n">
        <f aca="false">INDEX(AF84:AJ84,1,MATCH(AK84,Z84:AD84,0))</f>
        <v>0</v>
      </c>
      <c r="AM84" s="6" t="str">
        <f aca="false">IF($Y84=0,"",$AL84)</f>
        <v/>
      </c>
    </row>
    <row r="85" customFormat="false" ht="15" hidden="false" customHeight="false" outlineLevel="0" collapsed="false">
      <c r="A85" s="31" t="s">
        <v>60</v>
      </c>
      <c r="B85" s="32" t="str">
        <f aca="false">$AM85</f>
        <v/>
      </c>
      <c r="C85" s="5" t="n">
        <v>0.2</v>
      </c>
      <c r="D85" s="5" t="n">
        <v>4</v>
      </c>
      <c r="F85" s="26" t="n">
        <v>0.0315126457721079</v>
      </c>
      <c r="G85" s="26" t="n">
        <v>0.0315126457721079</v>
      </c>
      <c r="I85" s="5" t="n">
        <v>0.0415233876911301</v>
      </c>
      <c r="J85" s="27" t="n">
        <v>0.415233876911301</v>
      </c>
      <c r="L85" s="5"/>
      <c r="M85" s="5"/>
      <c r="O85" s="5"/>
      <c r="P85" s="5"/>
      <c r="R85" s="5"/>
      <c r="S85" s="5"/>
      <c r="T85" s="6" t="n">
        <f aca="false">IF(AND(F85&gt;=$C85,F85&lt;=$D85,F85&lt;&gt;0,F85&lt;&gt;"n.a."),1,0)</f>
        <v>0</v>
      </c>
      <c r="U85" s="6" t="n">
        <f aca="false">IF(AND(I85&gt;=$C85,I85&lt;=$D85,I85&lt;&gt;0,I85&lt;&gt;"n.a."),1,0)</f>
        <v>0</v>
      </c>
      <c r="V85" s="6" t="n">
        <f aca="false">IF(AND(L85&gt;=$C85,L85&lt;=$D85,L85&lt;&gt;0),1,0)</f>
        <v>0</v>
      </c>
      <c r="W85" s="6" t="n">
        <f aca="false">IF(AND(O85&gt;=$C85,O85&lt;=$D85,O85&lt;&gt;0),1,0)</f>
        <v>0</v>
      </c>
      <c r="X85" s="6" t="n">
        <f aca="false">IF(AND(R85&gt;=$C85,R85&lt;=$D85,R85&lt;&gt;0),1,0)</f>
        <v>0</v>
      </c>
      <c r="Y85" s="6" t="n">
        <f aca="false">SUM($T85:$X85)</f>
        <v>0</v>
      </c>
      <c r="Z85" s="6" t="n">
        <f aca="false">IF($F85="n.a.",0,$F85*$T85)</f>
        <v>0</v>
      </c>
      <c r="AA85" s="6" t="n">
        <f aca="false">IF($I85="n.a.",0,$I85*$U85)</f>
        <v>0</v>
      </c>
      <c r="AB85" s="6" t="n">
        <f aca="false">IF($L85="n.a.",0,$L85*$V85)</f>
        <v>0</v>
      </c>
      <c r="AC85" s="6" t="n">
        <f aca="false">IF($O85="n.a.",0,$O85*$W85)</f>
        <v>0</v>
      </c>
      <c r="AD85" s="6" t="n">
        <f aca="false">IF($R85="n.a.",0,$R85*$X85)</f>
        <v>0</v>
      </c>
      <c r="AE85" s="28"/>
      <c r="AF85" s="6" t="n">
        <f aca="false">IF($G85="n.a.",0,$G85*$T85)</f>
        <v>0</v>
      </c>
      <c r="AG85" s="6" t="n">
        <f aca="false">IF($J85="n.a.",0,$J85*$U85)</f>
        <v>0</v>
      </c>
      <c r="AH85" s="6" t="n">
        <f aca="false">IF($M85="n.a.",0,$M85*$V85)</f>
        <v>0</v>
      </c>
      <c r="AI85" s="6" t="n">
        <f aca="false">IF($P85="n.a.",0,$P85*$W85)</f>
        <v>0</v>
      </c>
      <c r="AJ85" s="6" t="n">
        <f aca="false">IF($S85="n.a.",0,$S85*$X85)</f>
        <v>0</v>
      </c>
      <c r="AK85" s="29" t="n">
        <f aca="false">MAX($Z85:$AD85)</f>
        <v>0</v>
      </c>
      <c r="AL85" s="30" t="n">
        <f aca="false">INDEX(AF85:AJ85,1,MATCH(AK85,Z85:AD85,0))</f>
        <v>0</v>
      </c>
      <c r="AM85" s="6" t="str">
        <f aca="false">IF($Y85=0,"",$AL85)</f>
        <v/>
      </c>
    </row>
    <row r="86" customFormat="false" ht="15" hidden="false" customHeight="false" outlineLevel="0" collapsed="false">
      <c r="A86" s="31" t="s">
        <v>61</v>
      </c>
      <c r="B86" s="32" t="str">
        <f aca="false">$AM86</f>
        <v/>
      </c>
      <c r="C86" s="5" t="n">
        <v>0.1</v>
      </c>
      <c r="D86" s="5" t="n">
        <v>2</v>
      </c>
      <c r="F86" s="26" t="n">
        <v>0.00376639468924797</v>
      </c>
      <c r="G86" s="26" t="n">
        <v>0.00376639468924797</v>
      </c>
      <c r="I86" s="5" t="n">
        <v>0.00363782344787982</v>
      </c>
      <c r="J86" s="27" t="n">
        <v>0.0363782344787982</v>
      </c>
      <c r="L86" s="5"/>
      <c r="M86" s="5"/>
      <c r="O86" s="5"/>
      <c r="P86" s="5"/>
      <c r="R86" s="5"/>
      <c r="S86" s="5"/>
      <c r="T86" s="6" t="n">
        <f aca="false">IF(AND(F86&gt;=$C86,F86&lt;=$D86,F86&lt;&gt;0,F86&lt;&gt;"n.a."),1,0)</f>
        <v>0</v>
      </c>
      <c r="U86" s="6" t="n">
        <f aca="false">IF(AND(I86&gt;=$C86,I86&lt;=$D86,I86&lt;&gt;0,I86&lt;&gt;"n.a."),1,0)</f>
        <v>0</v>
      </c>
      <c r="V86" s="6" t="n">
        <f aca="false">IF(AND(L86&gt;=$C86,L86&lt;=$D86,L86&lt;&gt;0),1,0)</f>
        <v>0</v>
      </c>
      <c r="W86" s="6" t="n">
        <f aca="false">IF(AND(O86&gt;=$C86,O86&lt;=$D86,O86&lt;&gt;0),1,0)</f>
        <v>0</v>
      </c>
      <c r="X86" s="6" t="n">
        <f aca="false">IF(AND(R86&gt;=$C86,R86&lt;=$D86,R86&lt;&gt;0),1,0)</f>
        <v>0</v>
      </c>
      <c r="Y86" s="6" t="n">
        <f aca="false">SUM($T86:$X86)</f>
        <v>0</v>
      </c>
      <c r="Z86" s="6" t="n">
        <f aca="false">IF($F86="n.a.",0,$F86*$T86)</f>
        <v>0</v>
      </c>
      <c r="AA86" s="6" t="n">
        <f aca="false">IF($I86="n.a.",0,$I86*$U86)</f>
        <v>0</v>
      </c>
      <c r="AB86" s="6" t="n">
        <f aca="false">IF($L86="n.a.",0,$L86*$V86)</f>
        <v>0</v>
      </c>
      <c r="AC86" s="6" t="n">
        <f aca="false">IF($O86="n.a.",0,$O86*$W86)</f>
        <v>0</v>
      </c>
      <c r="AD86" s="6" t="n">
        <f aca="false">IF($R86="n.a.",0,$R86*$X86)</f>
        <v>0</v>
      </c>
      <c r="AE86" s="28"/>
      <c r="AF86" s="6" t="n">
        <f aca="false">IF($G86="n.a.",0,$G86*$T86)</f>
        <v>0</v>
      </c>
      <c r="AG86" s="6" t="n">
        <f aca="false">IF($J86="n.a.",0,$J86*$U86)</f>
        <v>0</v>
      </c>
      <c r="AH86" s="6" t="n">
        <f aca="false">IF($M86="n.a.",0,$M86*$V86)</f>
        <v>0</v>
      </c>
      <c r="AI86" s="6" t="n">
        <f aca="false">IF($P86="n.a.",0,$P86*$W86)</f>
        <v>0</v>
      </c>
      <c r="AJ86" s="6" t="n">
        <f aca="false">IF($S86="n.a.",0,$S86*$X86)</f>
        <v>0</v>
      </c>
      <c r="AK86" s="29" t="n">
        <f aca="false">MAX($Z86:$AD86)</f>
        <v>0</v>
      </c>
      <c r="AL86" s="30" t="n">
        <f aca="false">INDEX(AF86:AJ86,1,MATCH(AK86,Z86:AD86,0))</f>
        <v>0</v>
      </c>
      <c r="AM86" s="6" t="str">
        <f aca="false">IF($Y86=0,"",$AL86)</f>
        <v/>
      </c>
    </row>
    <row r="87" customFormat="false" ht="15" hidden="false" customHeight="false" outlineLevel="0" collapsed="false">
      <c r="A87" s="31" t="s">
        <v>62</v>
      </c>
      <c r="B87" s="32" t="str">
        <f aca="false">$AM87</f>
        <v/>
      </c>
      <c r="C87" s="5" t="n">
        <v>0.1</v>
      </c>
      <c r="D87" s="5" t="n">
        <v>2</v>
      </c>
      <c r="F87" s="26" t="n">
        <v>0.0230897919749526</v>
      </c>
      <c r="G87" s="26" t="n">
        <v>0.0230897919749526</v>
      </c>
      <c r="I87" s="5" t="n">
        <v>0.0246136486078271</v>
      </c>
      <c r="J87" s="27" t="n">
        <v>0.246136486078271</v>
      </c>
      <c r="L87" s="5"/>
      <c r="M87" s="5"/>
      <c r="O87" s="5"/>
      <c r="P87" s="5"/>
      <c r="R87" s="5"/>
      <c r="S87" s="5"/>
      <c r="T87" s="6" t="n">
        <f aca="false">IF(AND(F87&gt;=$C87,F87&lt;=$D87,F87&lt;&gt;0,F87&lt;&gt;"n.a."),1,0)</f>
        <v>0</v>
      </c>
      <c r="U87" s="6" t="n">
        <f aca="false">IF(AND(I87&gt;=$C87,I87&lt;=$D87,I87&lt;&gt;0,I87&lt;&gt;"n.a."),1,0)</f>
        <v>0</v>
      </c>
      <c r="V87" s="6" t="n">
        <f aca="false">IF(AND(L87&gt;=$C87,L87&lt;=$D87,L87&lt;&gt;0),1,0)</f>
        <v>0</v>
      </c>
      <c r="W87" s="6" t="n">
        <f aca="false">IF(AND(O87&gt;=$C87,O87&lt;=$D87,O87&lt;&gt;0),1,0)</f>
        <v>0</v>
      </c>
      <c r="X87" s="6" t="n">
        <f aca="false">IF(AND(R87&gt;=$C87,R87&lt;=$D87,R87&lt;&gt;0),1,0)</f>
        <v>0</v>
      </c>
      <c r="Y87" s="6" t="n">
        <f aca="false">SUM($T87:$X87)</f>
        <v>0</v>
      </c>
      <c r="Z87" s="6" t="n">
        <f aca="false">IF($F87="n.a.",0,$F87*$T87)</f>
        <v>0</v>
      </c>
      <c r="AA87" s="6" t="n">
        <f aca="false">IF($I87="n.a.",0,$I87*$U87)</f>
        <v>0</v>
      </c>
      <c r="AB87" s="6" t="n">
        <f aca="false">IF($L87="n.a.",0,$L87*$V87)</f>
        <v>0</v>
      </c>
      <c r="AC87" s="6" t="n">
        <f aca="false">IF($O87="n.a.",0,$O87*$W87)</f>
        <v>0</v>
      </c>
      <c r="AD87" s="6" t="n">
        <f aca="false">IF($R87="n.a.",0,$R87*$X87)</f>
        <v>0</v>
      </c>
      <c r="AE87" s="28"/>
      <c r="AF87" s="6" t="n">
        <f aca="false">IF($G87="n.a.",0,$G87*$T87)</f>
        <v>0</v>
      </c>
      <c r="AG87" s="6" t="n">
        <f aca="false">IF($J87="n.a.",0,$J87*$U87)</f>
        <v>0</v>
      </c>
      <c r="AH87" s="6" t="n">
        <f aca="false">IF($M87="n.a.",0,$M87*$V87)</f>
        <v>0</v>
      </c>
      <c r="AI87" s="6" t="n">
        <f aca="false">IF($P87="n.a.",0,$P87*$W87)</f>
        <v>0</v>
      </c>
      <c r="AJ87" s="6" t="n">
        <f aca="false">IF($S87="n.a.",0,$S87*$X87)</f>
        <v>0</v>
      </c>
      <c r="AK87" s="29" t="n">
        <f aca="false">MAX($Z87:$AD87)</f>
        <v>0</v>
      </c>
      <c r="AL87" s="30" t="n">
        <f aca="false">INDEX(AF87:AJ87,1,MATCH(AK87,Z87:AD87,0))</f>
        <v>0</v>
      </c>
      <c r="AM87" s="6" t="str">
        <f aca="false">IF($Y87=0,"",$AL87)</f>
        <v/>
      </c>
    </row>
    <row r="88" customFormat="false" ht="15" hidden="false" customHeight="false" outlineLevel="0" collapsed="false">
      <c r="A88" s="31" t="s">
        <v>63</v>
      </c>
      <c r="B88" s="32" t="str">
        <f aca="false">$AM88</f>
        <v/>
      </c>
      <c r="C88" s="5" t="n">
        <v>0.1</v>
      </c>
      <c r="D88" s="5" t="n">
        <v>2</v>
      </c>
      <c r="F88" s="26" t="n">
        <v>0.0254828696782647</v>
      </c>
      <c r="G88" s="26" t="n">
        <v>0.0254828696782647</v>
      </c>
      <c r="I88" s="5" t="n">
        <v>0.0247097368106334</v>
      </c>
      <c r="J88" s="27" t="n">
        <v>0.247097368106334</v>
      </c>
      <c r="L88" s="5"/>
      <c r="M88" s="5"/>
      <c r="O88" s="5"/>
      <c r="P88" s="5"/>
      <c r="R88" s="5"/>
      <c r="S88" s="5"/>
      <c r="T88" s="6" t="n">
        <f aca="false">IF(AND(F88&gt;=$C88,F88&lt;=$D88,F88&lt;&gt;0,F88&lt;&gt;"n.a."),1,0)</f>
        <v>0</v>
      </c>
      <c r="U88" s="6" t="n">
        <f aca="false">IF(AND(I88&gt;=$C88,I88&lt;=$D88,I88&lt;&gt;0,I88&lt;&gt;"n.a."),1,0)</f>
        <v>0</v>
      </c>
      <c r="V88" s="6" t="n">
        <f aca="false">IF(AND(L88&gt;=$C88,L88&lt;=$D88,L88&lt;&gt;0),1,0)</f>
        <v>0</v>
      </c>
      <c r="W88" s="6" t="n">
        <f aca="false">IF(AND(O88&gt;=$C88,O88&lt;=$D88,O88&lt;&gt;0),1,0)</f>
        <v>0</v>
      </c>
      <c r="X88" s="6" t="n">
        <f aca="false">IF(AND(R88&gt;=$C88,R88&lt;=$D88,R88&lt;&gt;0),1,0)</f>
        <v>0</v>
      </c>
      <c r="Y88" s="6" t="n">
        <f aca="false">SUM($T88:$X88)</f>
        <v>0</v>
      </c>
      <c r="Z88" s="6" t="n">
        <f aca="false">IF($F88="n.a.",0,$F88*$T88)</f>
        <v>0</v>
      </c>
      <c r="AA88" s="6" t="n">
        <f aca="false">IF($I88="n.a.",0,$I88*$U88)</f>
        <v>0</v>
      </c>
      <c r="AB88" s="6" t="n">
        <f aca="false">IF($L88="n.a.",0,$L88*$V88)</f>
        <v>0</v>
      </c>
      <c r="AC88" s="6" t="n">
        <f aca="false">IF($O88="n.a.",0,$O88*$W88)</f>
        <v>0</v>
      </c>
      <c r="AD88" s="6" t="n">
        <f aca="false">IF($R88="n.a.",0,$R88*$X88)</f>
        <v>0</v>
      </c>
      <c r="AE88" s="28"/>
      <c r="AF88" s="6" t="n">
        <f aca="false">IF($G88="n.a.",0,$G88*$T88)</f>
        <v>0</v>
      </c>
      <c r="AG88" s="6" t="n">
        <f aca="false">IF($J88="n.a.",0,$J88*$U88)</f>
        <v>0</v>
      </c>
      <c r="AH88" s="6" t="n">
        <f aca="false">IF($M88="n.a.",0,$M88*$V88)</f>
        <v>0</v>
      </c>
      <c r="AI88" s="6" t="n">
        <f aca="false">IF($P88="n.a.",0,$P88*$W88)</f>
        <v>0</v>
      </c>
      <c r="AJ88" s="6" t="n">
        <f aca="false">IF($S88="n.a.",0,$S88*$X88)</f>
        <v>0</v>
      </c>
      <c r="AK88" s="29" t="n">
        <f aca="false">MAX($Z88:$AD88)</f>
        <v>0</v>
      </c>
      <c r="AL88" s="30" t="n">
        <f aca="false">INDEX(AF88:AJ88,1,MATCH(AK88,Z88:AD88,0))</f>
        <v>0</v>
      </c>
      <c r="AM88" s="6" t="str">
        <f aca="false">IF($Y88=0,"",$AL88)</f>
        <v/>
      </c>
    </row>
    <row r="89" customFormat="false" ht="15" hidden="false" customHeight="false" outlineLevel="0" collapsed="false">
      <c r="A89" s="31" t="s">
        <v>64</v>
      </c>
      <c r="B89" s="32" t="str">
        <f aca="false">$AM89</f>
        <v/>
      </c>
      <c r="C89" s="5" t="n">
        <v>0.1</v>
      </c>
      <c r="D89" s="5" t="n">
        <v>2</v>
      </c>
      <c r="F89" s="26" t="n">
        <v>0.0364518451791703</v>
      </c>
      <c r="G89" s="26" t="n">
        <v>0.0364518451791703</v>
      </c>
      <c r="I89" s="5" t="n">
        <v>0.0255665866744307</v>
      </c>
      <c r="J89" s="27" t="n">
        <v>0.255665866744307</v>
      </c>
      <c r="L89" s="5"/>
      <c r="M89" s="5"/>
      <c r="O89" s="5"/>
      <c r="P89" s="5"/>
      <c r="R89" s="5"/>
      <c r="S89" s="5"/>
      <c r="T89" s="6" t="n">
        <f aca="false">IF(AND(F89&gt;=$C89,F89&lt;=$D89,F89&lt;&gt;0,F89&lt;&gt;"n.a."),1,0)</f>
        <v>0</v>
      </c>
      <c r="U89" s="6" t="n">
        <f aca="false">IF(AND(I89&gt;=$C89,I89&lt;=$D89,I89&lt;&gt;0,I89&lt;&gt;"n.a."),1,0)</f>
        <v>0</v>
      </c>
      <c r="V89" s="6" t="n">
        <f aca="false">IF(AND(L89&gt;=$C89,L89&lt;=$D89,L89&lt;&gt;0),1,0)</f>
        <v>0</v>
      </c>
      <c r="W89" s="6" t="n">
        <f aca="false">IF(AND(O89&gt;=$C89,O89&lt;=$D89,O89&lt;&gt;0),1,0)</f>
        <v>0</v>
      </c>
      <c r="X89" s="6" t="n">
        <f aca="false">IF(AND(R89&gt;=$C89,R89&lt;=$D89,R89&lt;&gt;0),1,0)</f>
        <v>0</v>
      </c>
      <c r="Y89" s="6" t="n">
        <f aca="false">SUM($T89:$X89)</f>
        <v>0</v>
      </c>
      <c r="Z89" s="6" t="n">
        <f aca="false">IF($F89="n.a.",0,$F89*$T89)</f>
        <v>0</v>
      </c>
      <c r="AA89" s="6" t="n">
        <f aca="false">IF($I89="n.a.",0,$I89*$U89)</f>
        <v>0</v>
      </c>
      <c r="AB89" s="6" t="n">
        <f aca="false">IF($L89="n.a.",0,$L89*$V89)</f>
        <v>0</v>
      </c>
      <c r="AC89" s="6" t="n">
        <f aca="false">IF($O89="n.a.",0,$O89*$W89)</f>
        <v>0</v>
      </c>
      <c r="AD89" s="6" t="n">
        <f aca="false">IF($R89="n.a.",0,$R89*$X89)</f>
        <v>0</v>
      </c>
      <c r="AE89" s="28"/>
      <c r="AF89" s="6" t="n">
        <f aca="false">IF($G89="n.a.",0,$G89*$T89)</f>
        <v>0</v>
      </c>
      <c r="AG89" s="6" t="n">
        <f aca="false">IF($J89="n.a.",0,$J89*$U89)</f>
        <v>0</v>
      </c>
      <c r="AH89" s="6" t="n">
        <f aca="false">IF($M89="n.a.",0,$M89*$V89)</f>
        <v>0</v>
      </c>
      <c r="AI89" s="6" t="n">
        <f aca="false">IF($P89="n.a.",0,$P89*$W89)</f>
        <v>0</v>
      </c>
      <c r="AJ89" s="6" t="n">
        <f aca="false">IF($S89="n.a.",0,$S89*$X89)</f>
        <v>0</v>
      </c>
      <c r="AK89" s="29" t="n">
        <f aca="false">MAX($Z89:$AD89)</f>
        <v>0</v>
      </c>
      <c r="AL89" s="30" t="n">
        <f aca="false">INDEX(AF89:AJ89,1,MATCH(AK89,Z89:AD89,0))</f>
        <v>0</v>
      </c>
      <c r="AM89" s="6" t="str">
        <f aca="false">IF($Y89=0,"",$AL89)</f>
        <v/>
      </c>
    </row>
    <row r="90" customFormat="false" ht="15" hidden="false" customHeight="false" outlineLevel="0" collapsed="false">
      <c r="A90" s="31" t="s">
        <v>65</v>
      </c>
      <c r="B90" s="32" t="str">
        <f aca="false">$AM90</f>
        <v/>
      </c>
      <c r="C90" s="5" t="n">
        <v>0.1</v>
      </c>
      <c r="D90" s="5" t="n">
        <v>2</v>
      </c>
      <c r="F90" s="26" t="n">
        <v>0.0166856850029721</v>
      </c>
      <c r="G90" s="26" t="n">
        <v>0.0166856850029721</v>
      </c>
      <c r="I90" s="5" t="n">
        <v>0.0167203184646242</v>
      </c>
      <c r="J90" s="27" t="n">
        <v>0.167203184646242</v>
      </c>
      <c r="L90" s="5"/>
      <c r="M90" s="5"/>
      <c r="O90" s="5"/>
      <c r="P90" s="5"/>
      <c r="R90" s="5"/>
      <c r="S90" s="5"/>
      <c r="T90" s="6" t="n">
        <f aca="false">IF(AND(F90&gt;=$C90,F90&lt;=$D90,F90&lt;&gt;0,F90&lt;&gt;"n.a."),1,0)</f>
        <v>0</v>
      </c>
      <c r="U90" s="6" t="n">
        <f aca="false">IF(AND(I90&gt;=$C90,I90&lt;=$D90,I90&lt;&gt;0,I90&lt;&gt;"n.a."),1,0)</f>
        <v>0</v>
      </c>
      <c r="V90" s="6" t="n">
        <f aca="false">IF(AND(L90&gt;=$C90,L90&lt;=$D90,L90&lt;&gt;0),1,0)</f>
        <v>0</v>
      </c>
      <c r="W90" s="6" t="n">
        <f aca="false">IF(AND(O90&gt;=$C90,O90&lt;=$D90,O90&lt;&gt;0),1,0)</f>
        <v>0</v>
      </c>
      <c r="X90" s="6" t="n">
        <f aca="false">IF(AND(R90&gt;=$C90,R90&lt;=$D90,R90&lt;&gt;0),1,0)</f>
        <v>0</v>
      </c>
      <c r="Y90" s="6" t="n">
        <f aca="false">SUM($T90:$X90)</f>
        <v>0</v>
      </c>
      <c r="Z90" s="6" t="n">
        <f aca="false">IF($F90="n.a.",0,$F90*$T90)</f>
        <v>0</v>
      </c>
      <c r="AA90" s="6" t="n">
        <f aca="false">IF($I90="n.a.",0,$I90*$U90)</f>
        <v>0</v>
      </c>
      <c r="AB90" s="6" t="n">
        <f aca="false">IF($L90="n.a.",0,$L90*$V90)</f>
        <v>0</v>
      </c>
      <c r="AC90" s="6" t="n">
        <f aca="false">IF($O90="n.a.",0,$O90*$W90)</f>
        <v>0</v>
      </c>
      <c r="AD90" s="6" t="n">
        <f aca="false">IF($R90="n.a.",0,$R90*$X90)</f>
        <v>0</v>
      </c>
      <c r="AE90" s="28"/>
      <c r="AF90" s="6" t="n">
        <f aca="false">IF($G90="n.a.",0,$G90*$T90)</f>
        <v>0</v>
      </c>
      <c r="AG90" s="6" t="n">
        <f aca="false">IF($J90="n.a.",0,$J90*$U90)</f>
        <v>0</v>
      </c>
      <c r="AH90" s="6" t="n">
        <f aca="false">IF($M90="n.a.",0,$M90*$V90)</f>
        <v>0</v>
      </c>
      <c r="AI90" s="6" t="n">
        <f aca="false">IF($P90="n.a.",0,$P90*$W90)</f>
        <v>0</v>
      </c>
      <c r="AJ90" s="6" t="n">
        <f aca="false">IF($S90="n.a.",0,$S90*$X90)</f>
        <v>0</v>
      </c>
      <c r="AK90" s="29" t="n">
        <f aca="false">MAX($Z90:$AD90)</f>
        <v>0</v>
      </c>
      <c r="AL90" s="30" t="n">
        <f aca="false">INDEX(AF90:AJ90,1,MATCH(AK90,Z90:AD90,0))</f>
        <v>0</v>
      </c>
      <c r="AM90" s="6" t="str">
        <f aca="false">IF($Y90=0,"",$AL90)</f>
        <v/>
      </c>
    </row>
    <row r="91" customFormat="false" ht="15" hidden="false" customHeight="false" outlineLevel="0" collapsed="false">
      <c r="A91" s="31" t="s">
        <v>66</v>
      </c>
      <c r="B91" s="32" t="str">
        <f aca="false">$AM91</f>
        <v/>
      </c>
      <c r="C91" s="5" t="n">
        <v>0.1</v>
      </c>
      <c r="D91" s="5" t="n">
        <v>2</v>
      </c>
      <c r="F91" s="26" t="s">
        <v>32</v>
      </c>
      <c r="G91" s="26" t="s">
        <v>32</v>
      </c>
      <c r="I91" s="5"/>
      <c r="J91" s="27"/>
      <c r="L91" s="5"/>
      <c r="M91" s="5"/>
      <c r="O91" s="5"/>
      <c r="P91" s="5"/>
      <c r="R91" s="5"/>
      <c r="S91" s="5"/>
      <c r="T91" s="6" t="n">
        <f aca="false">IF(AND(F91&gt;=$C91,F91&lt;=$D91,F91&lt;&gt;0,F91&lt;&gt;"n.a."),1,0)</f>
        <v>0</v>
      </c>
      <c r="U91" s="6" t="n">
        <f aca="false">IF(AND(I91&gt;=$C91,I91&lt;=$D91,I91&lt;&gt;0,I91&lt;&gt;"n.a."),1,0)</f>
        <v>0</v>
      </c>
      <c r="V91" s="6" t="n">
        <f aca="false">IF(AND(L91&gt;=$C91,L91&lt;=$D91,L91&lt;&gt;0),1,0)</f>
        <v>0</v>
      </c>
      <c r="W91" s="6" t="n">
        <f aca="false">IF(AND(O91&gt;=$C91,O91&lt;=$D91,O91&lt;&gt;0),1,0)</f>
        <v>0</v>
      </c>
      <c r="X91" s="6" t="n">
        <f aca="false">IF(AND(R91&gt;=$C91,R91&lt;=$D91,R91&lt;&gt;0),1,0)</f>
        <v>0</v>
      </c>
      <c r="Y91" s="6" t="n">
        <f aca="false">SUM($T91:$X91)</f>
        <v>0</v>
      </c>
      <c r="Z91" s="6" t="n">
        <f aca="false">IF($F91="n.a.",0,$F91*$T91)</f>
        <v>0</v>
      </c>
      <c r="AA91" s="6" t="n">
        <f aca="false">IF($I91="n.a.",0,$I91*$U91)</f>
        <v>0</v>
      </c>
      <c r="AB91" s="6" t="n">
        <f aca="false">IF($L91="n.a.",0,$L91*$V91)</f>
        <v>0</v>
      </c>
      <c r="AC91" s="6" t="n">
        <f aca="false">IF($O91="n.a.",0,$O91*$W91)</f>
        <v>0</v>
      </c>
      <c r="AD91" s="6" t="n">
        <f aca="false">IF($R91="n.a.",0,$R91*$X91)</f>
        <v>0</v>
      </c>
      <c r="AE91" s="28"/>
      <c r="AF91" s="6" t="n">
        <f aca="false">IF($G91="n.a.",0,$G91*$T91)</f>
        <v>0</v>
      </c>
      <c r="AG91" s="6" t="n">
        <f aca="false">IF($J91="n.a.",0,$J91*$U91)</f>
        <v>0</v>
      </c>
      <c r="AH91" s="6" t="n">
        <f aca="false">IF($M91="n.a.",0,$M91*$V91)</f>
        <v>0</v>
      </c>
      <c r="AI91" s="6" t="n">
        <f aca="false">IF($P91="n.a.",0,$P91*$W91)</f>
        <v>0</v>
      </c>
      <c r="AJ91" s="6" t="n">
        <f aca="false">IF($S91="n.a.",0,$S91*$X91)</f>
        <v>0</v>
      </c>
      <c r="AK91" s="29" t="n">
        <f aca="false">MAX($Z91:$AD91)</f>
        <v>0</v>
      </c>
      <c r="AL91" s="30" t="n">
        <f aca="false">INDEX(AF91:AJ91,1,MATCH(AK91,Z91:AD91,0))</f>
        <v>0</v>
      </c>
      <c r="AM91" s="6" t="str">
        <f aca="false">IF($Y91=0,"",$AL91)</f>
        <v/>
      </c>
    </row>
    <row r="92" customFormat="false" ht="15" hidden="false" customHeight="false" outlineLevel="0" collapsed="false">
      <c r="A92" s="31" t="s">
        <v>67</v>
      </c>
      <c r="B92" s="32" t="str">
        <f aca="false">$AM92</f>
        <v/>
      </c>
      <c r="C92" s="5" t="n">
        <v>0.1</v>
      </c>
      <c r="D92" s="5" t="n">
        <v>2</v>
      </c>
      <c r="F92" s="26" t="s">
        <v>32</v>
      </c>
      <c r="G92" s="26" t="s">
        <v>32</v>
      </c>
      <c r="I92" s="5"/>
      <c r="J92" s="27"/>
      <c r="L92" s="5"/>
      <c r="M92" s="5"/>
      <c r="O92" s="5"/>
      <c r="P92" s="5"/>
      <c r="R92" s="5"/>
      <c r="S92" s="5"/>
      <c r="T92" s="6" t="n">
        <f aca="false">IF(AND(F92&gt;=$C92,F92&lt;=$D92,F92&lt;&gt;0,F92&lt;&gt;"n.a."),1,0)</f>
        <v>0</v>
      </c>
      <c r="U92" s="6" t="n">
        <f aca="false">IF(AND(I92&gt;=$C92,I92&lt;=$D92,I92&lt;&gt;0,I92&lt;&gt;"n.a."),1,0)</f>
        <v>0</v>
      </c>
      <c r="V92" s="6" t="n">
        <f aca="false">IF(AND(L92&gt;=$C92,L92&lt;=$D92,L92&lt;&gt;0),1,0)</f>
        <v>0</v>
      </c>
      <c r="W92" s="6" t="n">
        <f aca="false">IF(AND(O92&gt;=$C92,O92&lt;=$D92,O92&lt;&gt;0),1,0)</f>
        <v>0</v>
      </c>
      <c r="X92" s="6" t="n">
        <f aca="false">IF(AND(R92&gt;=$C92,R92&lt;=$D92,R92&lt;&gt;0),1,0)</f>
        <v>0</v>
      </c>
      <c r="Y92" s="6" t="n">
        <f aca="false">SUM($T92:$X92)</f>
        <v>0</v>
      </c>
      <c r="Z92" s="6" t="n">
        <f aca="false">IF($F92="n.a.",0,$F92*$T92)</f>
        <v>0</v>
      </c>
      <c r="AA92" s="6" t="n">
        <f aca="false">IF($I92="n.a.",0,$I92*$U92)</f>
        <v>0</v>
      </c>
      <c r="AB92" s="6" t="n">
        <f aca="false">IF($L92="n.a.",0,$L92*$V92)</f>
        <v>0</v>
      </c>
      <c r="AC92" s="6" t="n">
        <f aca="false">IF($O92="n.a.",0,$O92*$W92)</f>
        <v>0</v>
      </c>
      <c r="AD92" s="6" t="n">
        <f aca="false">IF($R92="n.a.",0,$R92*$X92)</f>
        <v>0</v>
      </c>
      <c r="AE92" s="28"/>
      <c r="AF92" s="6" t="n">
        <f aca="false">IF($G92="n.a.",0,$G92*$T92)</f>
        <v>0</v>
      </c>
      <c r="AG92" s="6" t="n">
        <f aca="false">IF($J92="n.a.",0,$J92*$U92)</f>
        <v>0</v>
      </c>
      <c r="AH92" s="6" t="n">
        <f aca="false">IF($M92="n.a.",0,$M92*$V92)</f>
        <v>0</v>
      </c>
      <c r="AI92" s="6" t="n">
        <f aca="false">IF($P92="n.a.",0,$P92*$W92)</f>
        <v>0</v>
      </c>
      <c r="AJ92" s="6" t="n">
        <f aca="false">IF($S92="n.a.",0,$S92*$X92)</f>
        <v>0</v>
      </c>
      <c r="AK92" s="29" t="n">
        <f aca="false">MAX($Z92:$AD92)</f>
        <v>0</v>
      </c>
      <c r="AL92" s="30" t="n">
        <f aca="false">INDEX(AF92:AJ92,1,MATCH(AK92,Z92:AD92,0))</f>
        <v>0</v>
      </c>
      <c r="AM92" s="6" t="str">
        <f aca="false">IF($Y92=0,"",$AL92)</f>
        <v/>
      </c>
    </row>
    <row r="93" customFormat="false" ht="15" hidden="false" customHeight="false" outlineLevel="0" collapsed="false">
      <c r="A93" s="31" t="s">
        <v>68</v>
      </c>
      <c r="B93" s="32" t="str">
        <f aca="false">$AM93</f>
        <v/>
      </c>
      <c r="C93" s="5" t="n">
        <v>0.1</v>
      </c>
      <c r="D93" s="5" t="n">
        <v>2</v>
      </c>
      <c r="F93" s="26" t="n">
        <v>0.00743731881933297</v>
      </c>
      <c r="G93" s="26" t="n">
        <v>0.00743731881933297</v>
      </c>
      <c r="I93" s="5" t="n">
        <v>0.00743854960702718</v>
      </c>
      <c r="J93" s="27" t="n">
        <v>0.0743854960702718</v>
      </c>
      <c r="L93" s="5"/>
      <c r="M93" s="5"/>
      <c r="O93" s="5"/>
      <c r="P93" s="5"/>
      <c r="R93" s="5"/>
      <c r="S93" s="5"/>
      <c r="T93" s="6" t="n">
        <f aca="false">IF(AND(F93&gt;=$C93,F93&lt;=$D93,F93&lt;&gt;0,F93&lt;&gt;"n.a."),1,0)</f>
        <v>0</v>
      </c>
      <c r="U93" s="6" t="n">
        <f aca="false">IF(AND(I93&gt;=$C93,I93&lt;=$D93,I93&lt;&gt;0,I93&lt;&gt;"n.a."),1,0)</f>
        <v>0</v>
      </c>
      <c r="V93" s="6" t="n">
        <f aca="false">IF(AND(L93&gt;=$C93,L93&lt;=$D93,L93&lt;&gt;0),1,0)</f>
        <v>0</v>
      </c>
      <c r="W93" s="6" t="n">
        <f aca="false">IF(AND(O93&gt;=$C93,O93&lt;=$D93,O93&lt;&gt;0),1,0)</f>
        <v>0</v>
      </c>
      <c r="X93" s="6" t="n">
        <f aca="false">IF(AND(R93&gt;=$C93,R93&lt;=$D93,R93&lt;&gt;0),1,0)</f>
        <v>0</v>
      </c>
      <c r="Y93" s="6" t="n">
        <f aca="false">SUM($T93:$X93)</f>
        <v>0</v>
      </c>
      <c r="Z93" s="6" t="n">
        <f aca="false">IF($F93="n.a.",0,$F93*$T93)</f>
        <v>0</v>
      </c>
      <c r="AA93" s="6" t="n">
        <f aca="false">IF($I93="n.a.",0,$I93*$U93)</f>
        <v>0</v>
      </c>
      <c r="AB93" s="6" t="n">
        <f aca="false">IF($L93="n.a.",0,$L93*$V93)</f>
        <v>0</v>
      </c>
      <c r="AC93" s="6" t="n">
        <f aca="false">IF($O93="n.a.",0,$O93*$W93)</f>
        <v>0</v>
      </c>
      <c r="AD93" s="6" t="n">
        <f aca="false">IF($R93="n.a.",0,$R93*$X93)</f>
        <v>0</v>
      </c>
      <c r="AE93" s="28"/>
      <c r="AF93" s="6" t="n">
        <f aca="false">IF($G93="n.a.",0,$G93*$T93)</f>
        <v>0</v>
      </c>
      <c r="AG93" s="6" t="n">
        <f aca="false">IF($J93="n.a.",0,$J93*$U93)</f>
        <v>0</v>
      </c>
      <c r="AH93" s="6" t="n">
        <f aca="false">IF($M93="n.a.",0,$M93*$V93)</f>
        <v>0</v>
      </c>
      <c r="AI93" s="6" t="n">
        <f aca="false">IF($P93="n.a.",0,$P93*$W93)</f>
        <v>0</v>
      </c>
      <c r="AJ93" s="6" t="n">
        <f aca="false">IF($S93="n.a.",0,$S93*$X93)</f>
        <v>0</v>
      </c>
      <c r="AK93" s="29" t="n">
        <f aca="false">MAX($Z93:$AD93)</f>
        <v>0</v>
      </c>
      <c r="AL93" s="30" t="n">
        <f aca="false">INDEX(AF93:AJ93,1,MATCH(AK93,Z93:AD93,0))</f>
        <v>0</v>
      </c>
      <c r="AM93" s="6" t="str">
        <f aca="false">IF($Y93=0,"",$AL93)</f>
        <v/>
      </c>
    </row>
    <row r="94" customFormat="false" ht="15" hidden="false" customHeight="false" outlineLevel="0" collapsed="false">
      <c r="A94" s="31" t="s">
        <v>69</v>
      </c>
      <c r="B94" s="32" t="str">
        <f aca="false">$AM94</f>
        <v/>
      </c>
      <c r="C94" s="5" t="n">
        <v>0.1</v>
      </c>
      <c r="D94" s="5" t="n">
        <v>2</v>
      </c>
      <c r="F94" s="26" t="n">
        <v>0.0056508411765282</v>
      </c>
      <c r="G94" s="26" t="n">
        <v>0.0056508411765282</v>
      </c>
      <c r="I94" s="5" t="n">
        <v>0.0057372432954404</v>
      </c>
      <c r="J94" s="27" t="n">
        <v>0.057372432954404</v>
      </c>
      <c r="L94" s="5"/>
      <c r="M94" s="5"/>
      <c r="O94" s="5"/>
      <c r="P94" s="5"/>
      <c r="R94" s="5"/>
      <c r="S94" s="5"/>
      <c r="T94" s="6" t="n">
        <f aca="false">IF(AND(F94&gt;=$C94,F94&lt;=$D94,F94&lt;&gt;0,F94&lt;&gt;"n.a."),1,0)</f>
        <v>0</v>
      </c>
      <c r="U94" s="6" t="n">
        <f aca="false">IF(AND(I94&gt;=$C94,I94&lt;=$D94,I94&lt;&gt;0,I94&lt;&gt;"n.a."),1,0)</f>
        <v>0</v>
      </c>
      <c r="V94" s="6" t="n">
        <f aca="false">IF(AND(L94&gt;=$C94,L94&lt;=$D94,L94&lt;&gt;0),1,0)</f>
        <v>0</v>
      </c>
      <c r="W94" s="6" t="n">
        <f aca="false">IF(AND(O94&gt;=$C94,O94&lt;=$D94,O94&lt;&gt;0),1,0)</f>
        <v>0</v>
      </c>
      <c r="X94" s="6" t="n">
        <f aca="false">IF(AND(R94&gt;=$C94,R94&lt;=$D94,R94&lt;&gt;0),1,0)</f>
        <v>0</v>
      </c>
      <c r="Y94" s="6" t="n">
        <f aca="false">SUM($T94:$X94)</f>
        <v>0</v>
      </c>
      <c r="Z94" s="6" t="n">
        <f aca="false">IF($F94="n.a.",0,$F94*$T94)</f>
        <v>0</v>
      </c>
      <c r="AA94" s="6" t="n">
        <f aca="false">IF($I94="n.a.",0,$I94*$U94)</f>
        <v>0</v>
      </c>
      <c r="AB94" s="6" t="n">
        <f aca="false">IF($L94="n.a.",0,$L94*$V94)</f>
        <v>0</v>
      </c>
      <c r="AC94" s="6" t="n">
        <f aca="false">IF($O94="n.a.",0,$O94*$W94)</f>
        <v>0</v>
      </c>
      <c r="AD94" s="6" t="n">
        <f aca="false">IF($R94="n.a.",0,$R94*$X94)</f>
        <v>0</v>
      </c>
      <c r="AE94" s="28"/>
      <c r="AF94" s="6" t="n">
        <f aca="false">IF($G94="n.a.",0,$G94*$T94)</f>
        <v>0</v>
      </c>
      <c r="AG94" s="6" t="n">
        <f aca="false">IF($J94="n.a.",0,$J94*$U94)</f>
        <v>0</v>
      </c>
      <c r="AH94" s="6" t="n">
        <f aca="false">IF($M94="n.a.",0,$M94*$V94)</f>
        <v>0</v>
      </c>
      <c r="AI94" s="6" t="n">
        <f aca="false">IF($P94="n.a.",0,$P94*$W94)</f>
        <v>0</v>
      </c>
      <c r="AJ94" s="6" t="n">
        <f aca="false">IF($S94="n.a.",0,$S94*$X94)</f>
        <v>0</v>
      </c>
      <c r="AK94" s="29" t="n">
        <f aca="false">MAX($Z94:$AD94)</f>
        <v>0</v>
      </c>
      <c r="AL94" s="30" t="n">
        <f aca="false">INDEX(AF94:AJ94,1,MATCH(AK94,Z94:AD94,0))</f>
        <v>0</v>
      </c>
      <c r="AM94" s="6" t="str">
        <f aca="false">IF($Y94=0,"",$AL94)</f>
        <v/>
      </c>
    </row>
    <row r="95" customFormat="false" ht="15" hidden="false" customHeight="false" outlineLevel="0" collapsed="false">
      <c r="A95" s="31" t="s">
        <v>70</v>
      </c>
      <c r="B95" s="32" t="str">
        <f aca="false">$AM95</f>
        <v/>
      </c>
      <c r="C95" s="5" t="n">
        <v>0.1</v>
      </c>
      <c r="D95" s="5" t="n">
        <v>2</v>
      </c>
      <c r="F95" s="26" t="n">
        <v>0.00544587120798549</v>
      </c>
      <c r="G95" s="26" t="n">
        <v>0.00544587120798549</v>
      </c>
      <c r="I95" s="5" t="n">
        <v>0.00548287365133875</v>
      </c>
      <c r="J95" s="27" t="n">
        <v>0.0548287365133875</v>
      </c>
      <c r="L95" s="5"/>
      <c r="M95" s="5"/>
      <c r="O95" s="5"/>
      <c r="P95" s="5"/>
      <c r="R95" s="5"/>
      <c r="S95" s="5"/>
      <c r="T95" s="6" t="n">
        <f aca="false">IF(AND(F95&gt;=$C95,F95&lt;=$D95,F95&lt;&gt;0,F95&lt;&gt;"n.a."),1,0)</f>
        <v>0</v>
      </c>
      <c r="U95" s="6" t="n">
        <f aca="false">IF(AND(I95&gt;=$C95,I95&lt;=$D95,I95&lt;&gt;0,I95&lt;&gt;"n.a."),1,0)</f>
        <v>0</v>
      </c>
      <c r="V95" s="6" t="n">
        <f aca="false">IF(AND(L95&gt;=$C95,L95&lt;=$D95,L95&lt;&gt;0),1,0)</f>
        <v>0</v>
      </c>
      <c r="W95" s="6" t="n">
        <f aca="false">IF(AND(O95&gt;=$C95,O95&lt;=$D95,O95&lt;&gt;0),1,0)</f>
        <v>0</v>
      </c>
      <c r="X95" s="6" t="n">
        <f aca="false">IF(AND(R95&gt;=$C95,R95&lt;=$D95,R95&lt;&gt;0),1,0)</f>
        <v>0</v>
      </c>
      <c r="Y95" s="6" t="n">
        <f aca="false">SUM($T95:$X95)</f>
        <v>0</v>
      </c>
      <c r="Z95" s="6" t="n">
        <f aca="false">IF($F95="n.a.",0,$F95*$T95)</f>
        <v>0</v>
      </c>
      <c r="AA95" s="6" t="n">
        <f aca="false">IF($I95="n.a.",0,$I95*$U95)</f>
        <v>0</v>
      </c>
      <c r="AB95" s="6" t="n">
        <f aca="false">IF($L95="n.a.",0,$L95*$V95)</f>
        <v>0</v>
      </c>
      <c r="AC95" s="6" t="n">
        <f aca="false">IF($O95="n.a.",0,$O95*$W95)</f>
        <v>0</v>
      </c>
      <c r="AD95" s="6" t="n">
        <f aca="false">IF($R95="n.a.",0,$R95*$X95)</f>
        <v>0</v>
      </c>
      <c r="AE95" s="28"/>
      <c r="AF95" s="6" t="n">
        <f aca="false">IF($G95="n.a.",0,$G95*$T95)</f>
        <v>0</v>
      </c>
      <c r="AG95" s="6" t="n">
        <f aca="false">IF($J95="n.a.",0,$J95*$U95)</f>
        <v>0</v>
      </c>
      <c r="AH95" s="6" t="n">
        <f aca="false">IF($M95="n.a.",0,$M95*$V95)</f>
        <v>0</v>
      </c>
      <c r="AI95" s="6" t="n">
        <f aca="false">IF($P95="n.a.",0,$P95*$W95)</f>
        <v>0</v>
      </c>
      <c r="AJ95" s="6" t="n">
        <f aca="false">IF($S95="n.a.",0,$S95*$X95)</f>
        <v>0</v>
      </c>
      <c r="AK95" s="29" t="n">
        <f aca="false">MAX($Z95:$AD95)</f>
        <v>0</v>
      </c>
      <c r="AL95" s="30" t="n">
        <f aca="false">INDEX(AF95:AJ95,1,MATCH(AK95,Z95:AD95,0))</f>
        <v>0</v>
      </c>
      <c r="AM95" s="6" t="str">
        <f aca="false">IF($Y95=0,"",$AL95)</f>
        <v/>
      </c>
    </row>
    <row r="96" customFormat="false" ht="15" hidden="false" customHeight="false" outlineLevel="0" collapsed="false">
      <c r="A96" s="31" t="s">
        <v>71</v>
      </c>
      <c r="B96" s="32" t="str">
        <f aca="false">$AM96</f>
        <v/>
      </c>
      <c r="C96" s="5" t="n">
        <v>0.1</v>
      </c>
      <c r="D96" s="5" t="n">
        <v>2</v>
      </c>
      <c r="F96" s="26" t="n">
        <v>0.0105418468348002</v>
      </c>
      <c r="G96" s="26" t="n">
        <v>0.0105418468348002</v>
      </c>
      <c r="I96" s="5" t="n">
        <v>0.0106563140199277</v>
      </c>
      <c r="J96" s="27" t="n">
        <v>0.106563140199277</v>
      </c>
      <c r="L96" s="5"/>
      <c r="M96" s="5"/>
      <c r="O96" s="5"/>
      <c r="P96" s="5"/>
      <c r="R96" s="5"/>
      <c r="S96" s="5"/>
      <c r="T96" s="6" t="n">
        <f aca="false">IF(AND(F96&gt;=$C96,F96&lt;=$D96,F96&lt;&gt;0,F96&lt;&gt;"n.a."),1,0)</f>
        <v>0</v>
      </c>
      <c r="U96" s="6" t="n">
        <f aca="false">IF(AND(I96&gt;=$C96,I96&lt;=$D96,I96&lt;&gt;0,I96&lt;&gt;"n.a."),1,0)</f>
        <v>0</v>
      </c>
      <c r="V96" s="6" t="n">
        <f aca="false">IF(AND(L96&gt;=$C96,L96&lt;=$D96,L96&lt;&gt;0),1,0)</f>
        <v>0</v>
      </c>
      <c r="W96" s="6" t="n">
        <f aca="false">IF(AND(O96&gt;=$C96,O96&lt;=$D96,O96&lt;&gt;0),1,0)</f>
        <v>0</v>
      </c>
      <c r="X96" s="6" t="n">
        <f aca="false">IF(AND(R96&gt;=$C96,R96&lt;=$D96,R96&lt;&gt;0),1,0)</f>
        <v>0</v>
      </c>
      <c r="Y96" s="6" t="n">
        <f aca="false">SUM($T96:$X96)</f>
        <v>0</v>
      </c>
      <c r="Z96" s="6" t="n">
        <f aca="false">IF($F96="n.a.",0,$F96*$T96)</f>
        <v>0</v>
      </c>
      <c r="AA96" s="6" t="n">
        <f aca="false">IF($I96="n.a.",0,$I96*$U96)</f>
        <v>0</v>
      </c>
      <c r="AB96" s="6" t="n">
        <f aca="false">IF($L96="n.a.",0,$L96*$V96)</f>
        <v>0</v>
      </c>
      <c r="AC96" s="6" t="n">
        <f aca="false">IF($O96="n.a.",0,$O96*$W96)</f>
        <v>0</v>
      </c>
      <c r="AD96" s="6" t="n">
        <f aca="false">IF($R96="n.a.",0,$R96*$X96)</f>
        <v>0</v>
      </c>
      <c r="AE96" s="28"/>
      <c r="AF96" s="6" t="n">
        <f aca="false">IF($G96="n.a.",0,$G96*$T96)</f>
        <v>0</v>
      </c>
      <c r="AG96" s="6" t="n">
        <f aca="false">IF($J96="n.a.",0,$J96*$U96)</f>
        <v>0</v>
      </c>
      <c r="AH96" s="6" t="n">
        <f aca="false">IF($M96="n.a.",0,$M96*$V96)</f>
        <v>0</v>
      </c>
      <c r="AI96" s="6" t="n">
        <f aca="false">IF($P96="n.a.",0,$P96*$W96)</f>
        <v>0</v>
      </c>
      <c r="AJ96" s="6" t="n">
        <f aca="false">IF($S96="n.a.",0,$S96*$X96)</f>
        <v>0</v>
      </c>
      <c r="AK96" s="29" t="n">
        <f aca="false">MAX($Z96:$AD96)</f>
        <v>0</v>
      </c>
      <c r="AL96" s="30" t="n">
        <f aca="false">INDEX(AF96:AJ96,1,MATCH(AK96,Z96:AD96,0))</f>
        <v>0</v>
      </c>
      <c r="AM96" s="6" t="str">
        <f aca="false">IF($Y96=0,"",$AL96)</f>
        <v/>
      </c>
    </row>
    <row r="97" customFormat="false" ht="15" hidden="false" customHeight="false" outlineLevel="0" collapsed="false">
      <c r="A97" s="31" t="s">
        <v>72</v>
      </c>
      <c r="B97" s="32" t="str">
        <f aca="false">$AM97</f>
        <v/>
      </c>
      <c r="C97" s="5" t="n">
        <v>0.1</v>
      </c>
      <c r="D97" s="5" t="n">
        <v>2</v>
      </c>
      <c r="F97" s="26" t="n">
        <v>0.02865205520671</v>
      </c>
      <c r="G97" s="26" t="n">
        <v>0.02865205520671</v>
      </c>
      <c r="I97" s="5" t="n">
        <v>0.0287531065244048</v>
      </c>
      <c r="J97" s="27" t="n">
        <v>0.287531065244048</v>
      </c>
      <c r="L97" s="5"/>
      <c r="M97" s="5"/>
      <c r="O97" s="5"/>
      <c r="P97" s="5"/>
      <c r="R97" s="5"/>
      <c r="S97" s="5"/>
      <c r="T97" s="6" t="n">
        <f aca="false">IF(AND(F97&gt;=$C97,F97&lt;=$D97,F97&lt;&gt;0,F97&lt;&gt;"n.a."),1,0)</f>
        <v>0</v>
      </c>
      <c r="U97" s="6" t="n">
        <f aca="false">IF(AND(I97&gt;=$C97,I97&lt;=$D97,I97&lt;&gt;0,I97&lt;&gt;"n.a."),1,0)</f>
        <v>0</v>
      </c>
      <c r="V97" s="6" t="n">
        <f aca="false">IF(AND(L97&gt;=$C97,L97&lt;=$D97,L97&lt;&gt;0),1,0)</f>
        <v>0</v>
      </c>
      <c r="W97" s="6" t="n">
        <f aca="false">IF(AND(O97&gt;=$C97,O97&lt;=$D97,O97&lt;&gt;0),1,0)</f>
        <v>0</v>
      </c>
      <c r="X97" s="6" t="n">
        <f aca="false">IF(AND(R97&gt;=$C97,R97&lt;=$D97,R97&lt;&gt;0),1,0)</f>
        <v>0</v>
      </c>
      <c r="Y97" s="6" t="n">
        <f aca="false">SUM($T97:$X97)</f>
        <v>0</v>
      </c>
      <c r="Z97" s="6" t="n">
        <f aca="false">IF($F97="n.a.",0,$F97*$T97)</f>
        <v>0</v>
      </c>
      <c r="AA97" s="6" t="n">
        <f aca="false">IF($I97="n.a.",0,$I97*$U97)</f>
        <v>0</v>
      </c>
      <c r="AB97" s="6" t="n">
        <f aca="false">IF($L97="n.a.",0,$L97*$V97)</f>
        <v>0</v>
      </c>
      <c r="AC97" s="6" t="n">
        <f aca="false">IF($O97="n.a.",0,$O97*$W97)</f>
        <v>0</v>
      </c>
      <c r="AD97" s="6" t="n">
        <f aca="false">IF($R97="n.a.",0,$R97*$X97)</f>
        <v>0</v>
      </c>
      <c r="AE97" s="28"/>
      <c r="AF97" s="6" t="n">
        <f aca="false">IF($G97="n.a.",0,$G97*$T97)</f>
        <v>0</v>
      </c>
      <c r="AG97" s="6" t="n">
        <f aca="false">IF($J97="n.a.",0,$J97*$U97)</f>
        <v>0</v>
      </c>
      <c r="AH97" s="6" t="n">
        <f aca="false">IF($M97="n.a.",0,$M97*$V97)</f>
        <v>0</v>
      </c>
      <c r="AI97" s="6" t="n">
        <f aca="false">IF($P97="n.a.",0,$P97*$W97)</f>
        <v>0</v>
      </c>
      <c r="AJ97" s="6" t="n">
        <f aca="false">IF($S97="n.a.",0,$S97*$X97)</f>
        <v>0</v>
      </c>
      <c r="AK97" s="29" t="n">
        <f aca="false">MAX($Z97:$AD97)</f>
        <v>0</v>
      </c>
      <c r="AL97" s="30" t="n">
        <f aca="false">INDEX(AF97:AJ97,1,MATCH(AK97,Z97:AD97,0))</f>
        <v>0</v>
      </c>
      <c r="AM97" s="6" t="str">
        <f aca="false">IF($Y97=0,"",$AL97)</f>
        <v/>
      </c>
    </row>
    <row r="98" customFormat="false" ht="15" hidden="false" customHeight="false" outlineLevel="0" collapsed="false">
      <c r="A98" s="31" t="s">
        <v>73</v>
      </c>
      <c r="B98" s="32" t="str">
        <f aca="false">$AM98</f>
        <v/>
      </c>
      <c r="C98" s="5" t="n">
        <v>0.1</v>
      </c>
      <c r="D98" s="5" t="n">
        <v>2</v>
      </c>
      <c r="F98" s="26" t="n">
        <v>0.0116221153690318</v>
      </c>
      <c r="G98" s="26" t="n">
        <v>0.0116221153690318</v>
      </c>
      <c r="I98" s="5" t="n">
        <v>0.0117556474973146</v>
      </c>
      <c r="J98" s="27" t="n">
        <v>0.117556474973146</v>
      </c>
      <c r="L98" s="5"/>
      <c r="M98" s="5"/>
      <c r="O98" s="5"/>
      <c r="P98" s="5"/>
      <c r="R98" s="5"/>
      <c r="S98" s="5"/>
      <c r="T98" s="6" t="n">
        <f aca="false">IF(AND(F98&gt;=$C98,F98&lt;=$D98,F98&lt;&gt;0,F98&lt;&gt;"n.a."),1,0)</f>
        <v>0</v>
      </c>
      <c r="U98" s="6" t="n">
        <f aca="false">IF(AND(I98&gt;=$C98,I98&lt;=$D98,I98&lt;&gt;0,I98&lt;&gt;"n.a."),1,0)</f>
        <v>0</v>
      </c>
      <c r="V98" s="6" t="n">
        <f aca="false">IF(AND(L98&gt;=$C98,L98&lt;=$D98,L98&lt;&gt;0),1,0)</f>
        <v>0</v>
      </c>
      <c r="W98" s="6" t="n">
        <f aca="false">IF(AND(O98&gt;=$C98,O98&lt;=$D98,O98&lt;&gt;0),1,0)</f>
        <v>0</v>
      </c>
      <c r="X98" s="6" t="n">
        <f aca="false">IF(AND(R98&gt;=$C98,R98&lt;=$D98,R98&lt;&gt;0),1,0)</f>
        <v>0</v>
      </c>
      <c r="Y98" s="6" t="n">
        <f aca="false">SUM($T98:$X98)</f>
        <v>0</v>
      </c>
      <c r="Z98" s="6" t="n">
        <f aca="false">IF($F98="n.a.",0,$F98*$T98)</f>
        <v>0</v>
      </c>
      <c r="AA98" s="6" t="n">
        <f aca="false">IF($I98="n.a.",0,$I98*$U98)</f>
        <v>0</v>
      </c>
      <c r="AB98" s="6" t="n">
        <f aca="false">IF($L98="n.a.",0,$L98*$V98)</f>
        <v>0</v>
      </c>
      <c r="AC98" s="6" t="n">
        <f aca="false">IF($O98="n.a.",0,$O98*$W98)</f>
        <v>0</v>
      </c>
      <c r="AD98" s="6" t="n">
        <f aca="false">IF($R98="n.a.",0,$R98*$X98)</f>
        <v>0</v>
      </c>
      <c r="AE98" s="28"/>
      <c r="AF98" s="6" t="n">
        <f aca="false">IF($G98="n.a.",0,$G98*$T98)</f>
        <v>0</v>
      </c>
      <c r="AG98" s="6" t="n">
        <f aca="false">IF($J98="n.a.",0,$J98*$U98)</f>
        <v>0</v>
      </c>
      <c r="AH98" s="6" t="n">
        <f aca="false">IF($M98="n.a.",0,$M98*$V98)</f>
        <v>0</v>
      </c>
      <c r="AI98" s="6" t="n">
        <f aca="false">IF($P98="n.a.",0,$P98*$W98)</f>
        <v>0</v>
      </c>
      <c r="AJ98" s="6" t="n">
        <f aca="false">IF($S98="n.a.",0,$S98*$X98)</f>
        <v>0</v>
      </c>
      <c r="AK98" s="29" t="n">
        <f aca="false">MAX($Z98:$AD98)</f>
        <v>0</v>
      </c>
      <c r="AL98" s="30" t="n">
        <f aca="false">INDEX(AF98:AJ98,1,MATCH(AK98,Z98:AD98,0))</f>
        <v>0</v>
      </c>
      <c r="AM98" s="6" t="str">
        <f aca="false">IF($Y98=0,"",$AL98)</f>
        <v/>
      </c>
    </row>
    <row r="99" customFormat="false" ht="15" hidden="false" customHeight="false" outlineLevel="0" collapsed="false">
      <c r="A99" s="31" t="s">
        <v>74</v>
      </c>
      <c r="B99" s="32" t="str">
        <f aca="false">$AM99</f>
        <v/>
      </c>
      <c r="C99" s="5" t="n">
        <v>0.1</v>
      </c>
      <c r="D99" s="5" t="n">
        <v>2</v>
      </c>
      <c r="F99" s="26" t="n">
        <v>0.0582772669840384</v>
      </c>
      <c r="G99" s="26" t="n">
        <v>0.0582772669840384</v>
      </c>
      <c r="I99" s="5" t="n">
        <v>0.0583537251544448</v>
      </c>
      <c r="J99" s="27" t="n">
        <v>0.583537251544448</v>
      </c>
      <c r="L99" s="5"/>
      <c r="M99" s="5"/>
      <c r="O99" s="5"/>
      <c r="P99" s="5"/>
      <c r="R99" s="5"/>
      <c r="S99" s="5"/>
      <c r="T99" s="6" t="n">
        <f aca="false">IF(AND(F99&gt;=$C99,F99&lt;=$D99,F99&lt;&gt;0,F99&lt;&gt;"n.a."),1,0)</f>
        <v>0</v>
      </c>
      <c r="U99" s="6" t="n">
        <f aca="false">IF(AND(I99&gt;=$C99,I99&lt;=$D99,I99&lt;&gt;0,I99&lt;&gt;"n.a."),1,0)</f>
        <v>0</v>
      </c>
      <c r="V99" s="6" t="n">
        <f aca="false">IF(AND(L99&gt;=$C99,L99&lt;=$D99,L99&lt;&gt;0),1,0)</f>
        <v>0</v>
      </c>
      <c r="W99" s="6" t="n">
        <f aca="false">IF(AND(O99&gt;=$C99,O99&lt;=$D99,O99&lt;&gt;0),1,0)</f>
        <v>0</v>
      </c>
      <c r="X99" s="6" t="n">
        <f aca="false">IF(AND(R99&gt;=$C99,R99&lt;=$D99,R99&lt;&gt;0),1,0)</f>
        <v>0</v>
      </c>
      <c r="Y99" s="6" t="n">
        <f aca="false">SUM($T99:$X99)</f>
        <v>0</v>
      </c>
      <c r="Z99" s="6" t="n">
        <f aca="false">IF($F99="n.a.",0,$F99*$T99)</f>
        <v>0</v>
      </c>
      <c r="AA99" s="6" t="n">
        <f aca="false">IF($I99="n.a.",0,$I99*$U99)</f>
        <v>0</v>
      </c>
      <c r="AB99" s="6" t="n">
        <f aca="false">IF($L99="n.a.",0,$L99*$V99)</f>
        <v>0</v>
      </c>
      <c r="AC99" s="6" t="n">
        <f aca="false">IF($O99="n.a.",0,$O99*$W99)</f>
        <v>0</v>
      </c>
      <c r="AD99" s="6" t="n">
        <f aca="false">IF($R99="n.a.",0,$R99*$X99)</f>
        <v>0</v>
      </c>
      <c r="AE99" s="28"/>
      <c r="AF99" s="6" t="n">
        <f aca="false">IF($G99="n.a.",0,$G99*$T99)</f>
        <v>0</v>
      </c>
      <c r="AG99" s="6" t="n">
        <f aca="false">IF($J99="n.a.",0,$J99*$U99)</f>
        <v>0</v>
      </c>
      <c r="AH99" s="6" t="n">
        <f aca="false">IF($M99="n.a.",0,$M99*$V99)</f>
        <v>0</v>
      </c>
      <c r="AI99" s="6" t="n">
        <f aca="false">IF($P99="n.a.",0,$P99*$W99)</f>
        <v>0</v>
      </c>
      <c r="AJ99" s="6" t="n">
        <f aca="false">IF($S99="n.a.",0,$S99*$X99)</f>
        <v>0</v>
      </c>
      <c r="AK99" s="29" t="n">
        <f aca="false">MAX($Z99:$AD99)</f>
        <v>0</v>
      </c>
      <c r="AL99" s="30" t="n">
        <f aca="false">INDEX(AF99:AJ99,1,MATCH(AK99,Z99:AD99,0))</f>
        <v>0</v>
      </c>
      <c r="AM99" s="6" t="str">
        <f aca="false">IF($Y99=0,"",$AL99)</f>
        <v/>
      </c>
    </row>
    <row r="100" customFormat="false" ht="15" hidden="false" customHeight="false" outlineLevel="0" collapsed="false">
      <c r="A100" s="33" t="s">
        <v>75</v>
      </c>
      <c r="B100" s="34" t="str">
        <f aca="false">$AM100</f>
        <v/>
      </c>
      <c r="C100" s="35" t="n">
        <v>0.1</v>
      </c>
      <c r="D100" s="35" t="n">
        <v>2</v>
      </c>
      <c r="F100" s="36" t="n">
        <v>0.0303172214118226</v>
      </c>
      <c r="G100" s="36" t="n">
        <v>0.0303172214118226</v>
      </c>
      <c r="I100" s="35" t="n">
        <v>0.0304199816605643</v>
      </c>
      <c r="J100" s="37" t="n">
        <v>0.304199816605643</v>
      </c>
      <c r="L100" s="35"/>
      <c r="M100" s="35"/>
      <c r="O100" s="35"/>
      <c r="P100" s="35"/>
      <c r="R100" s="35"/>
      <c r="S100" s="35"/>
      <c r="T100" s="6" t="n">
        <f aca="false">IF(AND(F100&gt;=$C100,F100&lt;=$D100,F100&lt;&gt;0,F100&lt;&gt;"n.a."),1,0)</f>
        <v>0</v>
      </c>
      <c r="U100" s="6" t="n">
        <f aca="false">IF(AND(I100&gt;=$C100,I100&lt;=$D100,I100&lt;&gt;0,I100&lt;&gt;"n.a."),1,0)</f>
        <v>0</v>
      </c>
      <c r="V100" s="6" t="n">
        <f aca="false">IF(AND(L100&gt;=$C100,L100&lt;=$D100,L100&lt;&gt;0),1,0)</f>
        <v>0</v>
      </c>
      <c r="W100" s="6" t="n">
        <f aca="false">IF(AND(O100&gt;=$C100,O100&lt;=$D100,O100&lt;&gt;0),1,0)</f>
        <v>0</v>
      </c>
      <c r="X100" s="6" t="n">
        <f aca="false">IF(AND(R100&gt;=$C100,R100&lt;=$D100,R100&lt;&gt;0),1,0)</f>
        <v>0</v>
      </c>
      <c r="Y100" s="6" t="n">
        <f aca="false">SUM($T100:$X100)</f>
        <v>0</v>
      </c>
      <c r="Z100" s="6" t="n">
        <f aca="false">IF($F100="n.a.",0,$F100*$T100)</f>
        <v>0</v>
      </c>
      <c r="AA100" s="6" t="n">
        <f aca="false">IF($I100="n.a.",0,$I100*$U100)</f>
        <v>0</v>
      </c>
      <c r="AB100" s="6" t="n">
        <f aca="false">IF($L100="n.a.",0,$L100*$V100)</f>
        <v>0</v>
      </c>
      <c r="AC100" s="6" t="n">
        <f aca="false">IF($O100="n.a.",0,$O100*$W100)</f>
        <v>0</v>
      </c>
      <c r="AD100" s="6" t="n">
        <f aca="false">IF($R100="n.a.",0,$R100*$X100)</f>
        <v>0</v>
      </c>
      <c r="AE100" s="28"/>
      <c r="AF100" s="6" t="n">
        <f aca="false">IF($G100="n.a.",0,$G100*$T100)</f>
        <v>0</v>
      </c>
      <c r="AG100" s="6" t="n">
        <f aca="false">IF($J100="n.a.",0,$J100*$U100)</f>
        <v>0</v>
      </c>
      <c r="AH100" s="6" t="n">
        <f aca="false">IF($M100="n.a.",0,$M100*$V100)</f>
        <v>0</v>
      </c>
      <c r="AI100" s="6" t="n">
        <f aca="false">IF($P100="n.a.",0,$P100*$W100)</f>
        <v>0</v>
      </c>
      <c r="AJ100" s="6" t="n">
        <f aca="false">IF($S100="n.a.",0,$S100*$X100)</f>
        <v>0</v>
      </c>
      <c r="AK100" s="29" t="n">
        <f aca="false">MAX($Z100:$AD100)</f>
        <v>0</v>
      </c>
      <c r="AL100" s="30" t="n">
        <f aca="false">INDEX(AF100:AJ100,1,MATCH(AK100,Z100:AD100,0))</f>
        <v>0</v>
      </c>
      <c r="AM100" s="6" t="str">
        <f aca="false">IF($Y100=0,"",$AL100)</f>
        <v/>
      </c>
    </row>
    <row r="101" customFormat="false" ht="15" hidden="false" customHeight="false" outlineLevel="0" collapsed="false">
      <c r="A101" s="38"/>
      <c r="B101" s="38"/>
    </row>
    <row r="103" customFormat="false" ht="15" hidden="false" customHeight="false" outlineLevel="0" collapsed="false">
      <c r="A103" s="40" t="s">
        <v>3</v>
      </c>
      <c r="B103" s="41" t="str">
        <f aca="true">IF(B5="","",CONCATENATE(B5,"A-017/",RIGHT(YEAR(TODAY()),2)))</f>
        <v>1234A-017/24</v>
      </c>
    </row>
    <row r="104" customFormat="false" ht="15" hidden="false" customHeight="false" outlineLevel="0" collapsed="false">
      <c r="A104" s="42"/>
    </row>
    <row r="105" customFormat="false" ht="15.75" hidden="false" customHeight="false" outlineLevel="0" collapsed="false">
      <c r="A105" s="4" t="s">
        <v>11</v>
      </c>
      <c r="B105" s="19" t="s">
        <v>77</v>
      </c>
      <c r="T105" s="19" t="s">
        <v>78</v>
      </c>
      <c r="U105" s="19" t="s">
        <v>79</v>
      </c>
      <c r="V105" s="7"/>
      <c r="W105" s="7"/>
    </row>
    <row r="106" customFormat="false" ht="15" hidden="false" customHeight="false" outlineLevel="0" collapsed="false">
      <c r="A106" s="24" t="s">
        <v>31</v>
      </c>
      <c r="B106" s="32" t="str">
        <f aca="false">$T106</f>
        <v/>
      </c>
      <c r="T106" s="1" t="str">
        <f aca="false">IF(AND(B9="",B57&lt;&gt;""),B57,B9)</f>
        <v/>
      </c>
      <c r="U106" s="1" t="n">
        <f aca="false">IF(B106="",0,B106)</f>
        <v>0</v>
      </c>
    </row>
    <row r="107" customFormat="false" ht="15" hidden="false" customHeight="false" outlineLevel="0" collapsed="false">
      <c r="A107" s="31" t="s">
        <v>33</v>
      </c>
      <c r="B107" s="32" t="str">
        <f aca="false">$T107</f>
        <v/>
      </c>
      <c r="T107" s="1" t="str">
        <f aca="false">IF(AND(B10="",B58&lt;&gt;""),B58,B10)</f>
        <v/>
      </c>
      <c r="U107" s="1" t="n">
        <f aca="false">IF(B107="",0,B107)</f>
        <v>0</v>
      </c>
    </row>
    <row r="108" customFormat="false" ht="15" hidden="false" customHeight="false" outlineLevel="0" collapsed="false">
      <c r="A108" s="31" t="s">
        <v>34</v>
      </c>
      <c r="B108" s="32" t="str">
        <f aca="false">$T108</f>
        <v/>
      </c>
      <c r="T108" s="1" t="str">
        <f aca="false">IF(AND(B11="",B59&lt;&gt;""),B59,B11)</f>
        <v/>
      </c>
      <c r="U108" s="1" t="n">
        <f aca="false">IF(B108="",0,B108)</f>
        <v>0</v>
      </c>
    </row>
    <row r="109" customFormat="false" ht="15" hidden="false" customHeight="false" outlineLevel="0" collapsed="false">
      <c r="A109" s="31" t="s">
        <v>35</v>
      </c>
      <c r="B109" s="32" t="str">
        <f aca="false">$T109</f>
        <v/>
      </c>
      <c r="T109" s="1" t="str">
        <f aca="false">IF(AND(B12="",B60&lt;&gt;""),B60,B12)</f>
        <v/>
      </c>
      <c r="U109" s="1" t="n">
        <f aca="false">IF(B109="",0,B109)</f>
        <v>0</v>
      </c>
    </row>
    <row r="110" customFormat="false" ht="15" hidden="false" customHeight="false" outlineLevel="0" collapsed="false">
      <c r="A110" s="31" t="s">
        <v>36</v>
      </c>
      <c r="B110" s="32" t="str">
        <f aca="false">$T110</f>
        <v/>
      </c>
      <c r="T110" s="1" t="str">
        <f aca="false">IF(AND(B13="",B61&lt;&gt;""),B61,B13)</f>
        <v/>
      </c>
      <c r="U110" s="1" t="n">
        <f aca="false">IF(B110="",0,B110)</f>
        <v>0</v>
      </c>
    </row>
    <row r="111" customFormat="false" ht="15" hidden="false" customHeight="false" outlineLevel="0" collapsed="false">
      <c r="A111" s="31" t="s">
        <v>37</v>
      </c>
      <c r="B111" s="32" t="n">
        <f aca="false">$T111</f>
        <v>0.0011</v>
      </c>
      <c r="T111" s="43" t="n">
        <f aca="false">IF(AND(B14="",B62&lt;&gt;""),B62,B14)</f>
        <v>0.0011</v>
      </c>
      <c r="U111" s="43" t="n">
        <f aca="false">IF(B111="",0,B111)</f>
        <v>0.0011</v>
      </c>
    </row>
    <row r="112" customFormat="false" ht="15" hidden="false" customHeight="false" outlineLevel="0" collapsed="false">
      <c r="A112" s="31" t="s">
        <v>38</v>
      </c>
      <c r="B112" s="32" t="str">
        <f aca="false">$T112</f>
        <v/>
      </c>
      <c r="T112" s="1" t="str">
        <f aca="false">IF(AND(B15="",B63&lt;&gt;""),B63,B15)</f>
        <v/>
      </c>
      <c r="U112" s="1" t="n">
        <f aca="false">IF(B112="",0,B112)</f>
        <v>0</v>
      </c>
    </row>
    <row r="113" customFormat="false" ht="15" hidden="false" customHeight="false" outlineLevel="0" collapsed="false">
      <c r="A113" s="31" t="s">
        <v>39</v>
      </c>
      <c r="B113" s="32" t="str">
        <f aca="false">$T113</f>
        <v/>
      </c>
      <c r="T113" s="1" t="str">
        <f aca="false">IF(AND(B16="",B64&lt;&gt;""),B64,B16)</f>
        <v/>
      </c>
      <c r="U113" s="1" t="n">
        <f aca="false">IF(B113="",0,B113)</f>
        <v>0</v>
      </c>
    </row>
    <row r="114" customFormat="false" ht="15" hidden="false" customHeight="false" outlineLevel="0" collapsed="false">
      <c r="A114" s="31" t="s">
        <v>40</v>
      </c>
      <c r="B114" s="32" t="str">
        <f aca="false">$T114</f>
        <v/>
      </c>
      <c r="T114" s="1" t="str">
        <f aca="false">IF(AND(B17="",B65&lt;&gt;""),B65,B17)</f>
        <v/>
      </c>
      <c r="U114" s="1" t="n">
        <f aca="false">IF(B114="",0,B114)</f>
        <v>0</v>
      </c>
    </row>
    <row r="115" customFormat="false" ht="15" hidden="false" customHeight="false" outlineLevel="0" collapsed="false">
      <c r="A115" s="31" t="s">
        <v>41</v>
      </c>
      <c r="B115" s="32" t="str">
        <f aca="false">$T115</f>
        <v/>
      </c>
      <c r="T115" s="1" t="str">
        <f aca="false">IF(AND(B18="",B66&lt;&gt;""),B66,B18)</f>
        <v/>
      </c>
      <c r="U115" s="1" t="n">
        <f aca="false">IF(B115="",0,B115)</f>
        <v>0</v>
      </c>
    </row>
    <row r="116" customFormat="false" ht="15" hidden="false" customHeight="false" outlineLevel="0" collapsed="false">
      <c r="A116" s="31" t="s">
        <v>42</v>
      </c>
      <c r="B116" s="32" t="n">
        <f aca="false">$T116</f>
        <v>10.8237261574025</v>
      </c>
      <c r="T116" s="43" t="n">
        <f aca="false">IF(AND(B19="",B67&lt;&gt;""),B67,B19)</f>
        <v>10.8237261574025</v>
      </c>
      <c r="U116" s="43" t="n">
        <f aca="false">IF(B116="",0,B116)</f>
        <v>10.8237261574025</v>
      </c>
    </row>
    <row r="117" customFormat="false" ht="15" hidden="false" customHeight="false" outlineLevel="0" collapsed="false">
      <c r="A117" s="31" t="s">
        <v>43</v>
      </c>
      <c r="B117" s="32" t="str">
        <f aca="false">$T117</f>
        <v/>
      </c>
      <c r="T117" s="1" t="str">
        <f aca="false">IF(AND(B20="",B68&lt;&gt;""),B68,B20)</f>
        <v/>
      </c>
      <c r="U117" s="1" t="n">
        <f aca="false">IF(B117="",0,B117)</f>
        <v>0</v>
      </c>
    </row>
    <row r="118" customFormat="false" ht="15" hidden="false" customHeight="false" outlineLevel="0" collapsed="false">
      <c r="A118" s="31" t="s">
        <v>44</v>
      </c>
      <c r="B118" s="32" t="str">
        <f aca="false">$T118</f>
        <v/>
      </c>
      <c r="T118" s="1" t="str">
        <f aca="false">IF(AND(B21="",B69&lt;&gt;""),B69,B21)</f>
        <v/>
      </c>
      <c r="U118" s="1" t="n">
        <f aca="false">IF(B118="",0,B118)</f>
        <v>0</v>
      </c>
    </row>
    <row r="119" customFormat="false" ht="15" hidden="false" customHeight="false" outlineLevel="0" collapsed="false">
      <c r="A119" s="31" t="s">
        <v>45</v>
      </c>
      <c r="B119" s="32" t="str">
        <f aca="false">$T119</f>
        <v/>
      </c>
      <c r="T119" s="1" t="str">
        <f aca="false">IF(AND(B22="",B70&lt;&gt;""),B70,B22)</f>
        <v/>
      </c>
      <c r="U119" s="1" t="n">
        <f aca="false">IF(B119="",0,B119)</f>
        <v>0</v>
      </c>
    </row>
    <row r="120" customFormat="false" ht="15" hidden="false" customHeight="false" outlineLevel="0" collapsed="false">
      <c r="A120" s="31" t="s">
        <v>46</v>
      </c>
      <c r="B120" s="32" t="str">
        <f aca="false">$T120</f>
        <v/>
      </c>
      <c r="T120" s="1" t="str">
        <f aca="false">IF(AND(B23="",B71&lt;&gt;""),B71,B23)</f>
        <v/>
      </c>
      <c r="U120" s="1" t="n">
        <f aca="false">IF(B120="",0,B120)</f>
        <v>0</v>
      </c>
    </row>
    <row r="121" customFormat="false" ht="15" hidden="false" customHeight="false" outlineLevel="0" collapsed="false">
      <c r="A121" s="31" t="s">
        <v>47</v>
      </c>
      <c r="B121" s="32" t="str">
        <f aca="false">$T121</f>
        <v/>
      </c>
      <c r="T121" s="1" t="str">
        <f aca="false">IF(AND(B24="",B72&lt;&gt;""),B72,B24)</f>
        <v/>
      </c>
      <c r="U121" s="1" t="n">
        <f aca="false">IF(B121="",0,B121)</f>
        <v>0</v>
      </c>
    </row>
    <row r="122" customFormat="false" ht="15" hidden="false" customHeight="false" outlineLevel="0" collapsed="false">
      <c r="A122" s="31" t="s">
        <v>48</v>
      </c>
      <c r="B122" s="32" t="str">
        <f aca="false">$T122</f>
        <v/>
      </c>
      <c r="T122" s="1" t="str">
        <f aca="false">IF(AND(B25="",B73&lt;&gt;""),B73,B25)</f>
        <v/>
      </c>
      <c r="U122" s="1" t="n">
        <f aca="false">IF(B122="",0,B122)</f>
        <v>0</v>
      </c>
    </row>
    <row r="123" customFormat="false" ht="15" hidden="false" customHeight="false" outlineLevel="0" collapsed="false">
      <c r="A123" s="31" t="s">
        <v>49</v>
      </c>
      <c r="B123" s="32" t="str">
        <f aca="false">$T123</f>
        <v/>
      </c>
      <c r="T123" s="1" t="str">
        <f aca="false">IF(AND(B26="",B74&lt;&gt;""),B74,B26)</f>
        <v/>
      </c>
      <c r="U123" s="1" t="n">
        <f aca="false">IF(B123="",0,B123)</f>
        <v>0</v>
      </c>
    </row>
    <row r="124" customFormat="false" ht="15" hidden="false" customHeight="false" outlineLevel="0" collapsed="false">
      <c r="A124" s="31" t="s">
        <v>50</v>
      </c>
      <c r="B124" s="32" t="n">
        <f aca="false">$T124</f>
        <v>2.51265114972571</v>
      </c>
      <c r="T124" s="43" t="n">
        <f aca="false">IF(AND(B27="",B75&lt;&gt;""),B75,B27)</f>
        <v>2.51265114972571</v>
      </c>
      <c r="U124" s="43" t="n">
        <f aca="false">IF(B124="",0,B124)</f>
        <v>2.51265114972571</v>
      </c>
    </row>
    <row r="125" customFormat="false" ht="15" hidden="false" customHeight="false" outlineLevel="0" collapsed="false">
      <c r="A125" s="31" t="s">
        <v>51</v>
      </c>
      <c r="B125" s="32" t="str">
        <f aca="false">$T125</f>
        <v/>
      </c>
      <c r="T125" s="1" t="str">
        <f aca="false">IF(AND(B28="",B76&lt;&gt;""),B76,B28)</f>
        <v/>
      </c>
      <c r="U125" s="1" t="n">
        <f aca="false">IF(B125="",0,B125)</f>
        <v>0</v>
      </c>
    </row>
    <row r="126" customFormat="false" ht="15" hidden="false" customHeight="false" outlineLevel="0" collapsed="false">
      <c r="A126" s="31" t="s">
        <v>52</v>
      </c>
      <c r="B126" s="32" t="str">
        <f aca="false">$T126</f>
        <v/>
      </c>
      <c r="T126" s="1" t="str">
        <f aca="false">IF(AND(B29="",B77&lt;&gt;""),B77,B29)</f>
        <v/>
      </c>
      <c r="U126" s="1" t="n">
        <f aca="false">IF(B126="",0,B126)</f>
        <v>0</v>
      </c>
    </row>
    <row r="127" customFormat="false" ht="15" hidden="false" customHeight="false" outlineLevel="0" collapsed="false">
      <c r="A127" s="31" t="s">
        <v>53</v>
      </c>
      <c r="B127" s="32" t="str">
        <f aca="false">$T127</f>
        <v/>
      </c>
      <c r="T127" s="1" t="str">
        <f aca="false">IF(AND(B30="",B78&lt;&gt;""),B78,B30)</f>
        <v/>
      </c>
      <c r="U127" s="1" t="n">
        <f aca="false">IF(B127="",0,B127)</f>
        <v>0</v>
      </c>
    </row>
    <row r="128" customFormat="false" ht="15" hidden="false" customHeight="false" outlineLevel="0" collapsed="false">
      <c r="A128" s="31" t="s">
        <v>54</v>
      </c>
      <c r="B128" s="32" t="str">
        <f aca="false">$T128</f>
        <v/>
      </c>
      <c r="T128" s="1" t="str">
        <f aca="false">IF(AND(B31="",B79&lt;&gt;""),B79,B31)</f>
        <v/>
      </c>
      <c r="U128" s="1" t="n">
        <f aca="false">IF(B128="",0,B128)</f>
        <v>0</v>
      </c>
    </row>
    <row r="129" customFormat="false" ht="15" hidden="false" customHeight="false" outlineLevel="0" collapsed="false">
      <c r="A129" s="31" t="s">
        <v>55</v>
      </c>
      <c r="B129" s="32" t="str">
        <f aca="false">$T129</f>
        <v/>
      </c>
      <c r="T129" s="1" t="str">
        <f aca="false">IF(AND(B32="",B80&lt;&gt;""),B80,B32)</f>
        <v/>
      </c>
      <c r="U129" s="1" t="n">
        <f aca="false">IF(B129="",0,B129)</f>
        <v>0</v>
      </c>
    </row>
    <row r="130" customFormat="false" ht="15" hidden="false" customHeight="false" outlineLevel="0" collapsed="false">
      <c r="A130" s="31" t="s">
        <v>56</v>
      </c>
      <c r="B130" s="32" t="n">
        <f aca="false">$T130</f>
        <v>0.447355176708584</v>
      </c>
      <c r="T130" s="43" t="n">
        <f aca="false">IF(AND(B33="",B81&lt;&gt;""),B81,B33)</f>
        <v>0.447355176708584</v>
      </c>
      <c r="U130" s="43" t="n">
        <f aca="false">IF(B130="",0,B130)</f>
        <v>0.447355176708584</v>
      </c>
    </row>
    <row r="131" customFormat="false" ht="15" hidden="false" customHeight="false" outlineLevel="0" collapsed="false">
      <c r="A131" s="31" t="s">
        <v>57</v>
      </c>
      <c r="B131" s="32" t="str">
        <f aca="false">$T131</f>
        <v/>
      </c>
      <c r="T131" s="1" t="str">
        <f aca="false">IF(AND(B34="",B82&lt;&gt;""),B82,B34)</f>
        <v/>
      </c>
      <c r="U131" s="1" t="n">
        <f aca="false">IF(B131="",0,B131)</f>
        <v>0</v>
      </c>
    </row>
    <row r="132" customFormat="false" ht="15" hidden="false" customHeight="false" outlineLevel="0" collapsed="false">
      <c r="A132" s="31" t="s">
        <v>58</v>
      </c>
      <c r="B132" s="32" t="str">
        <f aca="false">$T132</f>
        <v/>
      </c>
      <c r="T132" s="1" t="str">
        <f aca="false">IF(AND(B35="",B83&lt;&gt;""),B83,B35)</f>
        <v/>
      </c>
      <c r="U132" s="1" t="n">
        <f aca="false">IF(B132="",0,B132)</f>
        <v>0</v>
      </c>
    </row>
    <row r="133" customFormat="false" ht="15" hidden="false" customHeight="false" outlineLevel="0" collapsed="false">
      <c r="A133" s="31" t="s">
        <v>59</v>
      </c>
      <c r="B133" s="32" t="str">
        <f aca="false">$T133</f>
        <v/>
      </c>
      <c r="T133" s="1" t="str">
        <f aca="false">IF(AND(B36="",B84&lt;&gt;""),B84,B36)</f>
        <v/>
      </c>
      <c r="U133" s="1" t="n">
        <f aca="false">IF(B133="",0,B133)</f>
        <v>0</v>
      </c>
    </row>
    <row r="134" customFormat="false" ht="15" hidden="false" customHeight="false" outlineLevel="0" collapsed="false">
      <c r="A134" s="31" t="s">
        <v>60</v>
      </c>
      <c r="B134" s="32" t="str">
        <f aca="false">$T134</f>
        <v/>
      </c>
      <c r="T134" s="1" t="str">
        <f aca="false">IF(AND(B37="",B85&lt;&gt;""),B85,B37)</f>
        <v/>
      </c>
      <c r="U134" s="1" t="n">
        <f aca="false">IF(B134="",0,B134)</f>
        <v>0</v>
      </c>
    </row>
    <row r="135" customFormat="false" ht="15" hidden="false" customHeight="false" outlineLevel="0" collapsed="false">
      <c r="A135" s="31" t="s">
        <v>61</v>
      </c>
      <c r="B135" s="32" t="str">
        <f aca="false">$T135</f>
        <v/>
      </c>
      <c r="T135" s="1" t="str">
        <f aca="false">IF(AND(B38="",B86&lt;&gt;""),B86,B38)</f>
        <v/>
      </c>
      <c r="U135" s="1" t="n">
        <f aca="false">IF(B135="",0,B135)</f>
        <v>0</v>
      </c>
    </row>
    <row r="136" customFormat="false" ht="15" hidden="false" customHeight="false" outlineLevel="0" collapsed="false">
      <c r="A136" s="31" t="s">
        <v>62</v>
      </c>
      <c r="B136" s="32" t="str">
        <f aca="false">$T136</f>
        <v/>
      </c>
      <c r="T136" s="1" t="str">
        <f aca="false">IF(AND(B39="",B87&lt;&gt;""),B87,B39)</f>
        <v/>
      </c>
      <c r="U136" s="1" t="n">
        <f aca="false">IF(B136="",0,B136)</f>
        <v>0</v>
      </c>
    </row>
    <row r="137" customFormat="false" ht="15" hidden="false" customHeight="false" outlineLevel="0" collapsed="false">
      <c r="A137" s="31" t="s">
        <v>63</v>
      </c>
      <c r="B137" s="32" t="str">
        <f aca="false">$T137</f>
        <v/>
      </c>
      <c r="T137" s="1" t="str">
        <f aca="false">IF(AND(B40="",B88&lt;&gt;""),B88,B40)</f>
        <v/>
      </c>
      <c r="U137" s="1" t="n">
        <f aca="false">IF(B137="",0,B137)</f>
        <v>0</v>
      </c>
    </row>
    <row r="138" customFormat="false" ht="15" hidden="false" customHeight="false" outlineLevel="0" collapsed="false">
      <c r="A138" s="31" t="s">
        <v>64</v>
      </c>
      <c r="B138" s="32" t="n">
        <f aca="false">$T138</f>
        <v>0.0149</v>
      </c>
      <c r="T138" s="43" t="n">
        <f aca="false">IF(AND(B41="",B89&lt;&gt;""),B89,B41)</f>
        <v>0.0149</v>
      </c>
      <c r="U138" s="43" t="n">
        <f aca="false">IF(B138="",0,B138)</f>
        <v>0.0149</v>
      </c>
    </row>
    <row r="139" customFormat="false" ht="15" hidden="false" customHeight="false" outlineLevel="0" collapsed="false">
      <c r="A139" s="31" t="s">
        <v>65</v>
      </c>
      <c r="B139" s="32" t="str">
        <f aca="false">$T139</f>
        <v/>
      </c>
      <c r="T139" s="1" t="str">
        <f aca="false">IF(AND(B42="",B90&lt;&gt;""),B90,B42)</f>
        <v/>
      </c>
      <c r="U139" s="1" t="n">
        <f aca="false">IF(B139="",0,B139)</f>
        <v>0</v>
      </c>
    </row>
    <row r="140" customFormat="false" ht="15" hidden="false" customHeight="false" outlineLevel="0" collapsed="false">
      <c r="A140" s="31" t="s">
        <v>66</v>
      </c>
      <c r="B140" s="32" t="str">
        <f aca="false">$T140</f>
        <v/>
      </c>
      <c r="T140" s="1" t="str">
        <f aca="false">IF(AND(B43="",B91&lt;&gt;""),B91,B43)</f>
        <v/>
      </c>
      <c r="U140" s="1" t="n">
        <f aca="false">IF(B140="",0,B140)</f>
        <v>0</v>
      </c>
    </row>
    <row r="141" customFormat="false" ht="15" hidden="false" customHeight="false" outlineLevel="0" collapsed="false">
      <c r="A141" s="31" t="s">
        <v>67</v>
      </c>
      <c r="B141" s="32" t="str">
        <f aca="false">$T141</f>
        <v/>
      </c>
      <c r="T141" s="1" t="str">
        <f aca="false">IF(AND(B44="",B92&lt;&gt;""),B92,B44)</f>
        <v/>
      </c>
      <c r="U141" s="1" t="n">
        <f aca="false">IF(B141="",0,B141)</f>
        <v>0</v>
      </c>
    </row>
    <row r="142" customFormat="false" ht="15" hidden="false" customHeight="false" outlineLevel="0" collapsed="false">
      <c r="A142" s="31" t="s">
        <v>68</v>
      </c>
      <c r="B142" s="32" t="str">
        <f aca="false">$T142</f>
        <v/>
      </c>
      <c r="T142" s="1" t="str">
        <f aca="false">IF(AND(B45="",B93&lt;&gt;""),B93,B45)</f>
        <v/>
      </c>
      <c r="U142" s="1" t="n">
        <f aca="false">IF(B142="",0,B142)</f>
        <v>0</v>
      </c>
    </row>
    <row r="143" customFormat="false" ht="15" hidden="false" customHeight="false" outlineLevel="0" collapsed="false">
      <c r="A143" s="31" t="s">
        <v>69</v>
      </c>
      <c r="B143" s="32" t="str">
        <f aca="false">$T143</f>
        <v/>
      </c>
      <c r="T143" s="1" t="str">
        <f aca="false">IF(AND(B46="",B94&lt;&gt;""),B94,B46)</f>
        <v/>
      </c>
      <c r="U143" s="1" t="n">
        <f aca="false">IF(B143="",0,B143)</f>
        <v>0</v>
      </c>
    </row>
    <row r="144" customFormat="false" ht="15" hidden="false" customHeight="false" outlineLevel="0" collapsed="false">
      <c r="A144" s="31" t="s">
        <v>70</v>
      </c>
      <c r="B144" s="32" t="str">
        <f aca="false">$T144</f>
        <v/>
      </c>
      <c r="T144" s="1" t="str">
        <f aca="false">IF(AND(B47="",B95&lt;&gt;""),B95,B47)</f>
        <v/>
      </c>
      <c r="U144" s="1" t="n">
        <f aca="false">IF(B144="",0,B144)</f>
        <v>0</v>
      </c>
    </row>
    <row r="145" customFormat="false" ht="15" hidden="false" customHeight="false" outlineLevel="0" collapsed="false">
      <c r="A145" s="31" t="s">
        <v>71</v>
      </c>
      <c r="B145" s="32" t="str">
        <f aca="false">$T145</f>
        <v/>
      </c>
      <c r="T145" s="1" t="str">
        <f aca="false">IF(AND(B48="",B96&lt;&gt;""),B96,B48)</f>
        <v/>
      </c>
      <c r="U145" s="1" t="n">
        <f aca="false">IF(B145="",0,B145)</f>
        <v>0</v>
      </c>
    </row>
    <row r="146" customFormat="false" ht="15" hidden="false" customHeight="false" outlineLevel="0" collapsed="false">
      <c r="A146" s="31" t="s">
        <v>72</v>
      </c>
      <c r="B146" s="32" t="str">
        <f aca="false">$T146</f>
        <v/>
      </c>
      <c r="T146" s="1" t="str">
        <f aca="false">IF(AND(B49="",B97&lt;&gt;""),B97,B49)</f>
        <v/>
      </c>
      <c r="U146" s="1" t="n">
        <f aca="false">IF(B146="",0,B146)</f>
        <v>0</v>
      </c>
    </row>
    <row r="147" customFormat="false" ht="15" hidden="false" customHeight="false" outlineLevel="0" collapsed="false">
      <c r="A147" s="31" t="s">
        <v>73</v>
      </c>
      <c r="B147" s="32" t="str">
        <f aca="false">$T147</f>
        <v/>
      </c>
      <c r="T147" s="1" t="str">
        <f aca="false">IF(AND(B50="",B98&lt;&gt;""),B98,B50)</f>
        <v/>
      </c>
      <c r="U147" s="1" t="n">
        <f aca="false">IF(B147="",0,B147)</f>
        <v>0</v>
      </c>
    </row>
    <row r="148" customFormat="false" ht="15" hidden="false" customHeight="false" outlineLevel="0" collapsed="false">
      <c r="A148" s="31" t="s">
        <v>74</v>
      </c>
      <c r="B148" s="32" t="str">
        <f aca="false">$T148</f>
        <v/>
      </c>
      <c r="T148" s="1" t="str">
        <f aca="false">IF(AND(B51="",B99&lt;&gt;""),B99,B51)</f>
        <v/>
      </c>
      <c r="U148" s="1" t="n">
        <f aca="false">IF(B148="",0,B148)</f>
        <v>0</v>
      </c>
    </row>
    <row r="149" customFormat="false" ht="15" hidden="false" customHeight="false" outlineLevel="0" collapsed="false">
      <c r="A149" s="33" t="s">
        <v>75</v>
      </c>
      <c r="B149" s="32" t="str">
        <f aca="false">$T149</f>
        <v/>
      </c>
      <c r="T149" s="7" t="str">
        <f aca="false">IF(AND(B52="",B100&lt;&gt;""),B100,B52)</f>
        <v/>
      </c>
      <c r="U149" s="7" t="n">
        <f aca="false">IF(B149="",0,B149)</f>
        <v>0</v>
      </c>
    </row>
    <row r="150" customFormat="false" ht="15" hidden="false" customHeight="false" outlineLevel="0" collapsed="false">
      <c r="A150" s="44"/>
      <c r="B150" s="7"/>
    </row>
    <row r="151" customFormat="false" ht="15" hidden="false" customHeight="false" outlineLevel="0" collapsed="false">
      <c r="A151" s="39" t="s">
        <v>80</v>
      </c>
      <c r="B151" s="32" t="n">
        <f aca="false">IF(U151&lt;&gt;0,U151,"")</f>
        <v>0.0011</v>
      </c>
      <c r="U151" s="45" t="n">
        <f aca="false">U115+U111</f>
        <v>0.0011</v>
      </c>
    </row>
    <row r="152" customFormat="false" ht="15" hidden="false" customHeight="false" outlineLevel="0" collapsed="false">
      <c r="A152" s="39" t="s">
        <v>81</v>
      </c>
      <c r="B152" s="32" t="n">
        <f aca="false">IF(U152&lt;&gt;0,U152,"")</f>
        <v>10.8237261574025</v>
      </c>
      <c r="C152" s="1" t="s">
        <v>82</v>
      </c>
      <c r="U152" s="45" t="n">
        <f aca="false">U106+U116+U107+U120+U108+U122+U128+U147</f>
        <v>10.8237261574025</v>
      </c>
    </row>
    <row r="153" customFormat="false" ht="15" hidden="false" customHeight="false" outlineLevel="0" collapsed="false">
      <c r="A153" s="39" t="s">
        <v>83</v>
      </c>
      <c r="B153" s="32" t="n">
        <f aca="false">IF(U153&lt;&gt;0,U153,"")</f>
        <v>2.97490632643429</v>
      </c>
      <c r="C153" s="1" t="s">
        <v>84</v>
      </c>
      <c r="U153" s="45" t="n">
        <f aca="false">U138+U131+U130+U124</f>
        <v>2.97490632643429</v>
      </c>
    </row>
    <row r="154" customFormat="false" ht="15" hidden="false" customHeight="false" outlineLevel="0" collapsed="false">
      <c r="A154" s="39" t="s">
        <v>85</v>
      </c>
      <c r="B154" s="32" t="str">
        <f aca="false">IF(U154&lt;&gt;0,U154,"")</f>
        <v/>
      </c>
      <c r="C154" s="1" t="s">
        <v>82</v>
      </c>
      <c r="U154" s="45"/>
    </row>
    <row r="155" customFormat="false" ht="15" hidden="false" customHeight="false" outlineLevel="0" collapsed="false">
      <c r="A155" s="39" t="s">
        <v>86</v>
      </c>
      <c r="B155" s="32" t="str">
        <f aca="false">IF(U155&lt;&gt;0,U155,"")</f>
        <v/>
      </c>
      <c r="U155" s="45" t="n">
        <f aca="false">U119+U126+U137+U136+U134</f>
        <v>0</v>
      </c>
    </row>
    <row r="156" customFormat="false" ht="15" hidden="false" customHeight="false" outlineLevel="0" collapsed="false">
      <c r="A156" s="39" t="s">
        <v>87</v>
      </c>
      <c r="B156" s="32" t="str">
        <f aca="false">IF(U156&lt;&gt;0,U156,"")</f>
        <v/>
      </c>
      <c r="U156" s="45" t="n">
        <f aca="false">U122+U128</f>
        <v>0</v>
      </c>
    </row>
    <row r="157" customFormat="false" ht="15" hidden="false" customHeight="false" outlineLevel="0" collapsed="false">
      <c r="A157" s="46" t="s">
        <v>88</v>
      </c>
      <c r="B157" s="34" t="n">
        <f aca="false">IF(U157&lt;&gt;0,U157,"")</f>
        <v>13.7986324838368</v>
      </c>
      <c r="U157" s="45" t="n">
        <f aca="false">U116+U124+U130+U138</f>
        <v>13.7986324838368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2024-07-18T09:23:53Z</dcterms:created>
  <dc:creator>Bazzano Andrea</dc:creator>
  <dc:description/>
  <dc:language>en-GB</dc:language>
  <cp:lastModifiedBy>Andrea Bazzano</cp:lastModifiedBy>
  <dcterms:modified xsi:type="dcterms:W3CDTF">2024-12-31T11:14:53Z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